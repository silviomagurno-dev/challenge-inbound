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14" documentId="8_{52BA35EA-55B5-49AB-B621-9BFA023E5CE3}" xr6:coauthVersionLast="47" xr6:coauthVersionMax="47" xr10:uidLastSave="{D56AD826-4455-4E7A-BB22-0632BA68B318}"/>
  <bookViews>
    <workbookView xWindow="-120" yWindow="-120" windowWidth="29040" windowHeight="15720" tabRatio="810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C10" i="2"/>
  <c r="H9" i="2"/>
  <c r="C9" i="2"/>
  <c r="H8" i="2"/>
  <c r="C8" i="2"/>
  <c r="H7" i="2"/>
  <c r="C7" i="2"/>
  <c r="H6" i="2"/>
  <c r="C6" i="2"/>
  <c r="H5" i="2"/>
  <c r="C5" i="2"/>
  <c r="H4" i="2"/>
  <c r="C4" i="2"/>
  <c r="D1" i="2"/>
  <c r="C10" i="1"/>
  <c r="B9" i="3"/>
  <c r="B8" i="3"/>
  <c r="B7" i="3"/>
  <c r="B6" i="3"/>
  <c r="B5" i="3"/>
  <c r="G10" i="2" l="1"/>
  <c r="E11" i="3" s="1"/>
  <c r="F10" i="2"/>
  <c r="D11" i="3" s="1"/>
  <c r="G9" i="2"/>
  <c r="E10" i="3" s="1"/>
  <c r="F9" i="2"/>
  <c r="D10" i="3" s="1"/>
  <c r="G8" i="2"/>
  <c r="E9" i="3" s="1"/>
  <c r="F8" i="2"/>
  <c r="D9" i="3" s="1"/>
  <c r="G7" i="2"/>
  <c r="E8" i="3" s="1"/>
  <c r="F7" i="2"/>
  <c r="D8" i="3" s="1"/>
  <c r="G5" i="2"/>
  <c r="E6" i="3" s="1"/>
  <c r="F5" i="2"/>
  <c r="D6" i="3" s="1"/>
  <c r="G4" i="2"/>
  <c r="E5" i="3" s="1"/>
  <c r="F4" i="2"/>
  <c r="D5" i="3" s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G20" i="3" l="1"/>
  <c r="C15" i="3"/>
  <c r="C21" i="3"/>
  <c r="G16" i="3"/>
  <c r="C16" i="3"/>
  <c r="G21" i="3"/>
  <c r="C17" i="3"/>
  <c r="C20" i="3"/>
  <c r="G17" i="3"/>
  <c r="C19" i="3"/>
  <c r="G15" i="3"/>
  <c r="C18" i="3"/>
  <c r="G19" i="3"/>
  <c r="G18" i="3"/>
</calcChain>
</file>

<file path=xl/sharedStrings.xml><?xml version="1.0" encoding="utf-8"?>
<sst xmlns="http://schemas.openxmlformats.org/spreadsheetml/2006/main" count="78" uniqueCount="70">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</sst>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5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46203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0.74183996956118525</v>
          </cell>
          <cell r="G4">
            <v>0.70491803278688525</v>
          </cell>
          <cell r="H4">
            <v>1.6446205494982522E-2</v>
          </cell>
          <cell r="I4">
            <v>232.07216445995408</v>
          </cell>
          <cell r="J4">
            <v>225.68464703193365</v>
          </cell>
        </row>
        <row r="5">
          <cell r="B5" t="str">
            <v>Editoria</v>
          </cell>
          <cell r="D5">
            <v>0.76087748780872522</v>
          </cell>
          <cell r="E5">
            <v>0.72421660177961023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261.89621866009043</v>
          </cell>
        </row>
        <row r="6">
          <cell r="B6" t="str">
            <v>Gori</v>
          </cell>
          <cell r="D6">
            <v>0.7887875467257508</v>
          </cell>
          <cell r="E6">
            <v>0.7327008650058543</v>
          </cell>
          <cell r="G6">
            <v>0.97327656236869375</v>
          </cell>
          <cell r="H6">
            <v>1.3276562368693789E-2</v>
          </cell>
          <cell r="I6">
            <v>218.70039150583702</v>
          </cell>
          <cell r="J6">
            <v>229.00233127068643</v>
          </cell>
        </row>
        <row r="7">
          <cell r="B7" t="str">
            <v>Idrico</v>
          </cell>
          <cell r="D7">
            <v>0.61747392211126917</v>
          </cell>
          <cell r="E7">
            <v>0.66637067221735136</v>
          </cell>
          <cell r="G7">
            <v>0.69090909090909092</v>
          </cell>
          <cell r="H7">
            <v>6.3545518819056353E-3</v>
          </cell>
          <cell r="I7">
            <v>200.75789235670646</v>
          </cell>
          <cell r="J7">
            <v>196.24635372788543</v>
          </cell>
        </row>
        <row r="8">
          <cell r="B8" t="str">
            <v>Igiene Ambientale</v>
          </cell>
          <cell r="D8">
            <v>0.63270000000000004</v>
          </cell>
          <cell r="E8">
            <v>0.58689051842799844</v>
          </cell>
          <cell r="G8">
            <v>0.36842105263157893</v>
          </cell>
          <cell r="H8">
            <v>-7.9910258209150944E-2</v>
          </cell>
          <cell r="I8">
            <v>146.53039613498757</v>
          </cell>
          <cell r="J8">
            <v>132.64600764383846</v>
          </cell>
        </row>
        <row r="9">
          <cell r="B9" t="str">
            <v>ITS</v>
          </cell>
          <cell r="D9">
            <v>0.67570553852501991</v>
          </cell>
          <cell r="E9">
            <v>0.6225000811784952</v>
          </cell>
          <cell r="G9">
            <v>0.5714285714285714</v>
          </cell>
          <cell r="H9">
            <v>-8.8618206206812957E-3</v>
          </cell>
          <cell r="I9">
            <v>149.81253801090318</v>
          </cell>
          <cell r="J9">
            <v>134.5204081632653</v>
          </cell>
        </row>
        <row r="10">
          <cell r="B10" t="str">
            <v>Medicale</v>
          </cell>
          <cell r="D10">
            <v>0.650183652995457</v>
          </cell>
          <cell r="E10">
            <v>0.69762335006827658</v>
          </cell>
          <cell r="G10">
            <v>0.21052631578947367</v>
          </cell>
          <cell r="H10">
            <v>-2.9470943955545014E-2</v>
          </cell>
          <cell r="I10">
            <v>184.92501485879896</v>
          </cell>
          <cell r="J10">
            <v>189.35652052042698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tabSelected="1" zoomScale="115" zoomScaleNormal="115" workbookViewId="0">
      <selection activeCell="G27" sqref="G27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0" t="s">
        <v>21</v>
      </c>
      <c r="C2" s="51"/>
      <c r="D2" s="51"/>
    </row>
    <row r="3" spans="2:4" ht="6" customHeight="1" x14ac:dyDescent="0.25"/>
    <row r="4" spans="2:4" x14ac:dyDescent="0.25">
      <c r="B4" s="55" t="s">
        <v>22</v>
      </c>
      <c r="C4" s="51"/>
      <c r="D4" s="51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56" t="s">
        <v>36</v>
      </c>
      <c r="C12" s="51"/>
      <c r="D12" s="51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52" t="s">
        <v>42</v>
      </c>
      <c r="C23" s="51"/>
      <c r="D23" s="51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54" t="s">
        <v>47</v>
      </c>
      <c r="C32" s="51"/>
      <c r="D32" s="51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53" t="s">
        <v>52</v>
      </c>
      <c r="C41" s="51"/>
      <c r="D41" s="51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45" zoomScaleNormal="145" workbookViewId="0">
      <selection activeCell="G16" sqref="G16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46174</v>
      </c>
    </row>
    <row r="2" spans="2:10" x14ac:dyDescent="0.25">
      <c r="C2" s="47" t="s">
        <v>56</v>
      </c>
      <c r="D2" s="48">
        <f ca="1">IF(TODAY()&gt;EOMONTH('[1]Riepilogo mese per Commessa'!$D$1,0),EOMONTH('[1]Riepilogo mese per Commessa'!$D$1,0),'[1]Riepilogo mese per Commessa'!$D$1-1)</f>
        <v>46203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0.74183996956118525</v>
      </c>
      <c r="E4" s="34">
        <f t="shared" ref="E4:E10" ca="1" si="0">IF(C4=0,"",IF(D4="","",(D4-C4)))</f>
        <v>9.1910894436042723E-2</v>
      </c>
      <c r="F4" s="35">
        <f>INDEX([1]dati_comparti!G:G,MATCH($B4,[1]dati_comparti!$B:$B,0))</f>
        <v>0.70491803278688525</v>
      </c>
      <c r="G4" s="36">
        <f>INDEX([1]dati_comparti!H:H,MATCH($B4,[1]dati_comparti!$B:$B,0))</f>
        <v>1.6446205494982522E-2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225.68464703193365</v>
      </c>
      <c r="J4" s="34">
        <f t="shared" ref="J4:J10" ca="1" si="1">IF(H4=0,"",IF(I4="","",(I4-H4)/H4))</f>
        <v>-2.7523841314121271E-2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0.72421660177961023</v>
      </c>
      <c r="E5" s="39">
        <f t="shared" ca="1" si="0"/>
        <v>-3.6660886029114992E-2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261.89621866009043</v>
      </c>
      <c r="J5" s="39">
        <f t="shared" ca="1" si="1"/>
        <v>4.3959870832202444E-2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0.7327008650058543</v>
      </c>
      <c r="E6" s="34">
        <f t="shared" ca="1" si="0"/>
        <v>-5.6086681719896503E-2</v>
      </c>
      <c r="F6" s="35">
        <f ca="1">INDEX([1]dati_comparti!G:G,MATCH($B6,[1]dati_comparti!$B:$B,0))</f>
        <v>0.97327656236869375</v>
      </c>
      <c r="G6" s="36">
        <f ca="1">INDEX([1]dati_comparti!H:H,MATCH($B6,[1]dati_comparti!$B:$B,0))</f>
        <v>1.3276562368693789E-2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229.00233127068643</v>
      </c>
      <c r="J6" s="34">
        <f t="shared" ca="1" si="1"/>
        <v>4.7105264393522833E-2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0.66637067221735136</v>
      </c>
      <c r="E7" s="39">
        <f t="shared" ca="1" si="0"/>
        <v>4.8896750106082187E-2</v>
      </c>
      <c r="F7" s="35">
        <f>INDEX([1]dati_comparti!G:G,MATCH($B7,[1]dati_comparti!$B:$B,0))</f>
        <v>0.69090909090909092</v>
      </c>
      <c r="G7" s="36">
        <f>INDEX([1]dati_comparti!H:H,MATCH($B7,[1]dati_comparti!$B:$B,0))</f>
        <v>6.3545518819056353E-3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196.24635372788543</v>
      </c>
      <c r="J7" s="39">
        <f t="shared" ca="1" si="1"/>
        <v>-2.2472534334067078E-2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0.58689051842799844</v>
      </c>
      <c r="E8" s="34">
        <f t="shared" ca="1" si="0"/>
        <v>-4.5809481572001598E-2</v>
      </c>
      <c r="F8" s="35">
        <f>INDEX([1]dati_comparti!G:G,MATCH($B8,[1]dati_comparti!$B:$B,0))</f>
        <v>0.36842105263157893</v>
      </c>
      <c r="G8" s="36">
        <f>INDEX([1]dati_comparti!H:H,MATCH($B8,[1]dati_comparti!$B:$B,0))</f>
        <v>-7.9910258209150944E-2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132.64600764383846</v>
      </c>
      <c r="J8" s="34">
        <f t="shared" ca="1" si="1"/>
        <v>-9.4754323044062852E-2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0.6225000811784952</v>
      </c>
      <c r="E9" s="39">
        <f t="shared" ca="1" si="0"/>
        <v>-5.3205457346524709E-2</v>
      </c>
      <c r="F9" s="35">
        <f>INDEX([1]dati_comparti!G:G,MATCH($B9,[1]dati_comparti!$B:$B,0))</f>
        <v>0.5714285714285714</v>
      </c>
      <c r="G9" s="36">
        <f>INDEX([1]dati_comparti!H:H,MATCH($B9,[1]dati_comparti!$B:$B,0))</f>
        <v>-8.8618206206812957E-3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134.5204081632653</v>
      </c>
      <c r="J9" s="39">
        <f t="shared" ca="1" si="1"/>
        <v>-0.10207510032654903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0.69762335006827658</v>
      </c>
      <c r="E10" s="34">
        <f t="shared" ca="1" si="0"/>
        <v>4.7439697072819587E-2</v>
      </c>
      <c r="F10" s="35">
        <f>INDEX([1]dati_comparti!G:G,MATCH($B10,[1]dati_comparti!$B:$B,0))</f>
        <v>0.21052631578947367</v>
      </c>
      <c r="G10" s="36">
        <f>INDEX([1]dati_comparti!H:H,MATCH($B10,[1]dati_comparti!$B:$B,0))</f>
        <v>-2.9470943955545014E-2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189.35652052042698</v>
      </c>
      <c r="J10" s="34">
        <f t="shared" ca="1" si="1"/>
        <v>2.3963797785884922E-2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zoomScaleNormal="100" workbookViewId="0">
      <selection activeCell="C5" sqref="C5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0" t="s">
        <v>0</v>
      </c>
      <c r="C2" s="51"/>
      <c r="D2" s="51"/>
      <c r="E2" s="51"/>
      <c r="F2" s="51"/>
      <c r="G2" s="51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 ca="1"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2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 ca="1"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 ca="1">IF(OR(C5="",D5="",E5="",F5=""),"",ROUND(C5*Parametri!C6+D5*Parametri!C7+E5*Parametri!C8+F5*Parametri!C9,2))</f>
        <v>5.6</v>
      </c>
    </row>
    <row r="6" spans="2:7" x14ac:dyDescent="0.25">
      <c r="B6" s="38" t="str">
        <f>'Dati Comparti'!B5</f>
        <v>Editoria</v>
      </c>
      <c r="C6" s="43">
        <f ca="1"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-5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 ca="1"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4</v>
      </c>
      <c r="G6" s="42">
        <f ca="1">IF(OR(C6="",D6="",E6="",F6=""),"",ROUND(C6*Parametri!C6+D6*Parametri!C7+E6*Parametri!C8+F6*Parametri!C9,2))</f>
        <v>2.2000000000000002</v>
      </c>
    </row>
    <row r="7" spans="2:7" x14ac:dyDescent="0.25">
      <c r="B7" s="32" t="str">
        <f>'Dati Comparti'!B6</f>
        <v>Gori</v>
      </c>
      <c r="C7" s="41">
        <f ca="1"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-10</v>
      </c>
      <c r="D7" s="41">
        <f ca="1"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 ca="1"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 ca="1"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 ca="1">IF(OR(C7="",D7="",E7="",F7=""),"",ROUND(C7*Parametri!C6+D7*Parametri!C7+E7*Parametri!C8+F7*Parametri!C9,2))</f>
        <v>-0.2</v>
      </c>
    </row>
    <row r="8" spans="2:7" x14ac:dyDescent="0.25">
      <c r="B8" s="38" t="str">
        <f>'Dati Comparti'!B7</f>
        <v>Idrico</v>
      </c>
      <c r="C8" s="43">
        <f ca="1"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6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 ca="1"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 ca="1">IF(OR(C8="",D8="",E8="",F8=""),"",ROUND(C8*Parametri!C6+D8*Parametri!C7+E8*Parametri!C8+F8*Parametri!C9,2))</f>
        <v>3</v>
      </c>
    </row>
    <row r="9" spans="2:7" x14ac:dyDescent="0.25">
      <c r="B9" s="32" t="str">
        <f>'Dati Comparti'!B8</f>
        <v>Igiene Ambientale</v>
      </c>
      <c r="C9" s="41">
        <f ca="1"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 ca="1"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8</v>
      </c>
      <c r="G9" s="42">
        <f ca="1">IF(OR(C9="",D9="",E9="",F9=""),"",ROUND(C9*Parametri!C6+D9*Parametri!C7+E9*Parametri!C8+F9*Parametri!C9,2))</f>
        <v>-3.2</v>
      </c>
    </row>
    <row r="10" spans="2:7" x14ac:dyDescent="0.25">
      <c r="B10" s="38" t="s">
        <v>7</v>
      </c>
      <c r="C10" s="43">
        <f ca="1"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0</v>
      </c>
      <c r="F10" s="43">
        <f ca="1"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10</v>
      </c>
      <c r="G10" s="42">
        <f ca="1">IF(OR(C10="",D10="",E10="",F10=""),"",ROUND(C10*Parametri!C6+D10*Parametri!C7+E10*Parametri!C8+F10*Parametri!C9,2))</f>
        <v>-3</v>
      </c>
    </row>
    <row r="11" spans="2:7" x14ac:dyDescent="0.25">
      <c r="B11" s="32" t="s">
        <v>8</v>
      </c>
      <c r="C11" s="41">
        <f ca="1"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6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 ca="1"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 ca="1">IF(OR(C11="",D11="",E11="",F11=""),"",ROUND(C11*Parametri!C6+D11*Parametri!C7+E11*Parametri!C8+F11*Parametri!C9,2))</f>
        <v>2.8</v>
      </c>
    </row>
    <row r="13" spans="2:7" x14ac:dyDescent="0.25">
      <c r="B13" s="62" t="s">
        <v>9</v>
      </c>
      <c r="C13" s="51"/>
      <c r="D13" s="51"/>
      <c r="E13" s="51"/>
      <c r="F13" s="51"/>
      <c r="G13" s="51"/>
    </row>
    <row r="14" spans="2:7" x14ac:dyDescent="0.25">
      <c r="B14" s="14" t="s">
        <v>10</v>
      </c>
      <c r="C14" s="63" t="s">
        <v>11</v>
      </c>
      <c r="D14" s="51"/>
      <c r="E14" s="51"/>
      <c r="F14" s="64"/>
      <c r="G14" s="14" t="s">
        <v>12</v>
      </c>
    </row>
    <row r="15" spans="2:7" x14ac:dyDescent="0.25">
      <c r="B15" s="44" t="s">
        <v>13</v>
      </c>
      <c r="C15" s="61" t="str">
        <f ca="1">IFERROR(INDEX(Scoring!B5:B11,MATCH(LARGE(Scoring!G5:G11,1),Scoring!G5:G11,0)),"")</f>
        <v>Centro Servizi</v>
      </c>
      <c r="D15" s="51"/>
      <c r="E15" s="51"/>
      <c r="F15" s="51"/>
      <c r="G15" s="1">
        <f ca="1">IFERROR(LARGE(Scoring!G5:G11,1),"")</f>
        <v>5.6</v>
      </c>
    </row>
    <row r="16" spans="2:7" x14ac:dyDescent="0.25">
      <c r="B16" s="45" t="s">
        <v>14</v>
      </c>
      <c r="C16" s="60" t="str">
        <f ca="1">IFERROR(INDEX(Scoring!B5:B11,MATCH(LARGE(Scoring!G5:G11,2),Scoring!G5:G11,0)),"")</f>
        <v>Idrico</v>
      </c>
      <c r="D16" s="51"/>
      <c r="E16" s="51"/>
      <c r="F16" s="51"/>
      <c r="G16" s="2">
        <f ca="1">IFERROR(LARGE(Scoring!G5:G11,2),"")</f>
        <v>3</v>
      </c>
    </row>
    <row r="17" spans="2:7" x14ac:dyDescent="0.25">
      <c r="B17" s="46" t="s">
        <v>15</v>
      </c>
      <c r="C17" s="58" t="str">
        <f ca="1">IFERROR(INDEX(Scoring!B5:B11,MATCH(LARGE(Scoring!G5:G11,3),Scoring!G5:G11,0)),"")</f>
        <v>Medicale</v>
      </c>
      <c r="D17" s="51"/>
      <c r="E17" s="51"/>
      <c r="F17" s="51"/>
      <c r="G17" s="3">
        <f ca="1">IFERROR(LARGE(Scoring!G5:G11,3),"")</f>
        <v>2.8</v>
      </c>
    </row>
    <row r="18" spans="2:7" x14ac:dyDescent="0.25">
      <c r="B18" s="14" t="s">
        <v>16</v>
      </c>
      <c r="C18" s="57" t="str">
        <f ca="1">IFERROR(INDEX(Scoring!B5:B11,MATCH(LARGE(Scoring!G5:G11,4),Scoring!G5:G11,0)),"")</f>
        <v>Editoria</v>
      </c>
      <c r="D18" s="51"/>
      <c r="E18" s="51"/>
      <c r="F18" s="51"/>
      <c r="G18" s="4">
        <f ca="1">IFERROR(LARGE(Scoring!G5:G11,4),"")</f>
        <v>2.2000000000000002</v>
      </c>
    </row>
    <row r="19" spans="2:7" x14ac:dyDescent="0.25">
      <c r="B19" s="14" t="s">
        <v>17</v>
      </c>
      <c r="C19" s="57" t="str">
        <f ca="1">IFERROR(INDEX(Scoring!B5:B11,MATCH(LARGE(Scoring!G5:G11,5),Scoring!G5:G11,0)),"")</f>
        <v>Gori</v>
      </c>
      <c r="D19" s="51"/>
      <c r="E19" s="51"/>
      <c r="F19" s="51"/>
      <c r="G19" s="4">
        <f ca="1">IFERROR(LARGE(Scoring!G5:G11,5),"")</f>
        <v>-0.2</v>
      </c>
    </row>
    <row r="20" spans="2:7" x14ac:dyDescent="0.25">
      <c r="B20" s="14" t="s">
        <v>18</v>
      </c>
      <c r="C20" s="57" t="str">
        <f ca="1">IFERROR(INDEX(Scoring!B5:B11,MATCH(LARGE(Scoring!G5:G11,6),Scoring!G5:G11,0)),"")</f>
        <v>ITS</v>
      </c>
      <c r="D20" s="51"/>
      <c r="E20" s="51"/>
      <c r="F20" s="51"/>
      <c r="G20" s="4">
        <f ca="1">IFERROR(LARGE(Scoring!G5:G11,6),"")</f>
        <v>-3</v>
      </c>
    </row>
    <row r="21" spans="2:7" x14ac:dyDescent="0.25">
      <c r="B21" s="14" t="s">
        <v>19</v>
      </c>
      <c r="C21" s="57" t="str">
        <f ca="1">IFERROR(INDEX(Scoring!B5:B11,MATCH(LARGE(Scoring!G5:G11,7),Scoring!G5:G11,0)),"")</f>
        <v>Igiene Ambientale</v>
      </c>
      <c r="D21" s="51"/>
      <c r="E21" s="51"/>
      <c r="F21" s="51"/>
      <c r="G21" s="4">
        <f ca="1">IFERROR(LARGE(Scoring!G5:G11,7),"")</f>
        <v>-3.2</v>
      </c>
    </row>
    <row r="23" spans="2:7" x14ac:dyDescent="0.25">
      <c r="B23" s="59" t="s">
        <v>20</v>
      </c>
      <c r="C23" s="51"/>
      <c r="D23" s="51"/>
      <c r="E23" s="51"/>
      <c r="F23" s="51"/>
      <c r="G23" s="51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2026-07-20T10:43:25Z</dcterms:modified>
  <dc:language>en-US</dc:language>
</cp:coreProperties>
</file>