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48" documentId="11_3986FFDAA71613FBBF4E0ADF7712B152860938D4" xr6:coauthVersionLast="47" xr6:coauthVersionMax="47" xr10:uidLastSave="{E6BD2E55-1781-45D1-BC79-0D6755BAC532}"/>
  <bookViews>
    <workbookView xWindow="-120" yWindow="-120" windowWidth="29040" windowHeight="157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C10" i="2"/>
  <c r="H9" i="2"/>
  <c r="G9" i="2"/>
  <c r="F9" i="2"/>
  <c r="C9" i="2"/>
  <c r="H8" i="2"/>
  <c r="G8" i="2"/>
  <c r="F8" i="2"/>
  <c r="C8" i="2"/>
  <c r="H7" i="2"/>
  <c r="G7" i="2"/>
  <c r="F7" i="2"/>
  <c r="C7" i="2"/>
  <c r="H6" i="2"/>
  <c r="C6" i="2"/>
  <c r="H5" i="2"/>
  <c r="G5" i="2"/>
  <c r="F5" i="2"/>
  <c r="C5" i="2"/>
  <c r="H4" i="2"/>
  <c r="G4" i="2"/>
  <c r="F4" i="2"/>
  <c r="C4" i="2"/>
  <c r="D1" i="2"/>
  <c r="E11" i="3" l="1"/>
  <c r="D11" i="3"/>
  <c r="E10" i="3"/>
  <c r="E9" i="3"/>
  <c r="D9" i="3"/>
  <c r="D8" i="3"/>
  <c r="E6" i="3"/>
  <c r="D6" i="3"/>
  <c r="E5" i="3"/>
  <c r="D5" i="3"/>
  <c r="C10" i="1"/>
  <c r="D10" i="3"/>
  <c r="B9" i="3"/>
  <c r="E8" i="3"/>
  <c r="B8" i="3"/>
  <c r="B7" i="3"/>
  <c r="B6" i="3"/>
  <c r="B5" i="3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10" i="2" l="1"/>
  <c r="E10" i="2" s="1"/>
  <c r="C11" i="3" s="1"/>
  <c r="G11" i="3" s="1"/>
  <c r="D9" i="2" l="1"/>
  <c r="E9" i="2" s="1"/>
  <c r="C10" i="3" s="1"/>
  <c r="G10" i="3" s="1"/>
  <c r="D4" i="2"/>
  <c r="E4" i="2" s="1"/>
  <c r="C5" i="3" s="1"/>
  <c r="G5" i="3" s="1"/>
  <c r="D7" i="2"/>
  <c r="E7" i="2" s="1"/>
  <c r="C8" i="3" s="1"/>
  <c r="G8" i="3" s="1"/>
  <c r="D8" i="2" l="1"/>
  <c r="E8" i="2" s="1"/>
  <c r="C9" i="3" s="1"/>
  <c r="G9" i="3" s="1"/>
  <c r="D5" i="2" l="1"/>
  <c r="E5" i="2" s="1"/>
  <c r="C6" i="3" s="1"/>
  <c r="G6" i="3" s="1"/>
  <c r="C17" i="3" l="1"/>
  <c r="G18" i="3"/>
  <c r="G19" i="3"/>
  <c r="G15" i="3"/>
  <c r="C16" i="3"/>
  <c r="G20" i="3"/>
  <c r="C20" i="3"/>
  <c r="G16" i="3"/>
  <c r="C18" i="3"/>
  <c r="C19" i="3"/>
  <c r="C15" i="3"/>
  <c r="G21" i="3"/>
  <c r="C21" i="3"/>
  <c r="G17" i="3"/>
</calcChain>
</file>

<file path=xl/sharedStrings.xml><?xml version="1.0" encoding="utf-8"?>
<sst xmlns="http://schemas.openxmlformats.org/spreadsheetml/2006/main" count="141" uniqueCount="75">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</sst>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Relationship Id="rId1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46266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46295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0.70864363279624354</v>
          </cell>
          <cell r="G4">
            <v>0.62903225806451613</v>
          </cell>
          <cell r="H4">
            <v>4.8298065729876702E-3</v>
          </cell>
          <cell r="I4">
            <v>232.07216445995408</v>
          </cell>
          <cell r="J4">
            <v>225.35345464312093</v>
          </cell>
        </row>
        <row r="5">
          <cell r="B5" t="str">
            <v>Editoria</v>
          </cell>
          <cell r="D5">
            <v>0.76087748780872522</v>
          </cell>
          <cell r="E5">
            <v>0.84767133232578862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274.25778029071546</v>
          </cell>
        </row>
        <row r="6">
          <cell r="B6" t="str">
            <v>Gori</v>
          </cell>
          <cell r="D6">
            <v>0.7887875467257508</v>
          </cell>
          <cell r="E6">
            <v>0.7578048403079205</v>
          </cell>
          <cell r="G6">
            <v>0.96163607704843579</v>
          </cell>
          <cell r="H6">
            <v>1.6360770484358245E-3</v>
          </cell>
          <cell r="I6">
            <v>218.70039150583702</v>
          </cell>
          <cell r="J6">
            <v>215.08253924156134</v>
          </cell>
        </row>
        <row r="7">
          <cell r="B7" t="str">
            <v>Idrico</v>
          </cell>
          <cell r="D7">
            <v>0.61747392211126917</v>
          </cell>
          <cell r="E7">
            <v>0.59673938762484835</v>
          </cell>
          <cell r="G7">
            <v>0.8571428571428571</v>
          </cell>
          <cell r="H7">
            <v>3.650799441131234E-2</v>
          </cell>
          <cell r="I7">
            <v>200.75789235670646</v>
          </cell>
          <cell r="J7">
            <v>189.58156138226266</v>
          </cell>
        </row>
        <row r="8">
          <cell r="B8" t="str">
            <v>Igiene Ambientale</v>
          </cell>
          <cell r="D8">
            <v>0.63270000000000004</v>
          </cell>
          <cell r="E8">
            <v>0.42975566579690755</v>
          </cell>
          <cell r="G8">
            <v>0.6470588235294118</v>
          </cell>
          <cell r="H8">
            <v>1.0913002593738397E-2</v>
          </cell>
          <cell r="I8">
            <v>146.53039613498757</v>
          </cell>
          <cell r="J8">
            <v>242.60754115772704</v>
          </cell>
        </row>
        <row r="9">
          <cell r="B9" t="str">
            <v>ITS</v>
          </cell>
          <cell r="D9">
            <v>0.67570553852501991</v>
          </cell>
          <cell r="E9">
            <v>0.60306823507635887</v>
          </cell>
          <cell r="G9">
            <v>0.375</v>
          </cell>
          <cell r="H9">
            <v>-2.7944532198813724E-3</v>
          </cell>
          <cell r="I9">
            <v>149.81253801090318</v>
          </cell>
          <cell r="J9">
            <v>146.45995187349604</v>
          </cell>
        </row>
        <row r="10">
          <cell r="B10" t="str">
            <v>Medicale</v>
          </cell>
          <cell r="D10">
            <v>0.650183652995457</v>
          </cell>
          <cell r="E10">
            <v>0.70170003776092427</v>
          </cell>
          <cell r="G10">
            <v>0.47368421052631576</v>
          </cell>
          <cell r="H10">
            <v>-4.5588974227520765E-3</v>
          </cell>
          <cell r="I10">
            <v>184.92501485879896</v>
          </cell>
          <cell r="J10">
            <v>194.04543122466779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46266</v>
      </c>
    </row>
    <row r="2" spans="2:10" x14ac:dyDescent="0.25">
      <c r="C2" s="47" t="s">
        <v>56</v>
      </c>
      <c r="D2" s="48">
        <f>'[1]Riepilogo mese per Commessa'!$D$1</f>
        <v>46295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0.70864363279624354</v>
      </c>
      <c r="E4" s="34">
        <f t="shared" ref="E4:E10" si="0">IF(C4=0,"",IF(D4="","",(D4-C4)))</f>
        <v>5.8714557671101009E-2</v>
      </c>
      <c r="F4" s="35">
        <f>INDEX([1]dati_comparti!G:G,MATCH($B4,[1]dati_comparti!$B:$B,0))</f>
        <v>0.62903225806451613</v>
      </c>
      <c r="G4" s="36">
        <f>INDEX([1]dati_comparti!H:H,MATCH($B4,[1]dati_comparti!$B:$B,0))</f>
        <v>4.8298065729876702E-3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225.35345464312093</v>
      </c>
      <c r="J4" s="34">
        <f t="shared" ref="J4:J10" si="1">IF(H4=0,"",IF(I4="","",(I4-H4)/H4))</f>
        <v>-2.8950950806478654E-2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0.84767133232578862</v>
      </c>
      <c r="E5" s="39">
        <f t="shared" si="0"/>
        <v>8.6793844517063401E-2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274.25778029071546</v>
      </c>
      <c r="J5" s="39">
        <f t="shared" si="1"/>
        <v>9.3235016342954211E-2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0.7578048403079205</v>
      </c>
      <c r="E6" s="34">
        <f t="shared" si="0"/>
        <v>-3.0982706417830297E-2</v>
      </c>
      <c r="F6" s="35">
        <f>INDEX([1]dati_comparti!G:G,MATCH($B6,[1]dati_comparti!$B:$B,0))</f>
        <v>0.96163607704843579</v>
      </c>
      <c r="G6" s="36">
        <f>INDEX([1]dati_comparti!H:H,MATCH($B6,[1]dati_comparti!$B:$B,0))</f>
        <v>1.6360770484358245E-3</v>
      </c>
      <c r="H6" s="37">
        <f>INDEX([1]dati_comparti!I:I,MATCH($B6,[1]dati_comparti!$B:$B,0))</f>
        <v>218.70039150583702</v>
      </c>
      <c r="I6" s="37">
        <f>INDEX([1]dati_comparti!J:J,MATCH($B6,[1]dati_comparti!$B:$B,0))</f>
        <v>215.08253924156134</v>
      </c>
      <c r="J6" s="34">
        <f t="shared" si="1"/>
        <v>-1.6542504745260707E-2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0.59673938762484835</v>
      </c>
      <c r="E7" s="39">
        <f t="shared" si="0"/>
        <v>-2.0734534486420819E-2</v>
      </c>
      <c r="F7" s="35">
        <f>INDEX([1]dati_comparti!G:G,MATCH($B7,[1]dati_comparti!$B:$B,0))</f>
        <v>0.8571428571428571</v>
      </c>
      <c r="G7" s="36">
        <f>INDEX([1]dati_comparti!H:H,MATCH($B7,[1]dati_comparti!$B:$B,0))</f>
        <v>3.650799441131234E-2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189.58156138226266</v>
      </c>
      <c r="J7" s="39">
        <f t="shared" si="1"/>
        <v>-5.5670692908977665E-2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0.42975566579690755</v>
      </c>
      <c r="E8" s="34">
        <f t="shared" si="0"/>
        <v>-0.20294433420309249</v>
      </c>
      <c r="F8" s="35">
        <f>INDEX([1]dati_comparti!G:G,MATCH($B8,[1]dati_comparti!$B:$B,0))</f>
        <v>0.6470588235294118</v>
      </c>
      <c r="G8" s="36">
        <f>INDEX([1]dati_comparti!H:H,MATCH($B8,[1]dati_comparti!$B:$B,0))</f>
        <v>1.0913002593738397E-2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242.60754115772704</v>
      </c>
      <c r="J8" s="34">
        <f t="shared" si="1"/>
        <v>0.65568064754449129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0.60306823507635887</v>
      </c>
      <c r="E9" s="39">
        <f t="shared" si="0"/>
        <v>-7.2637303448661039E-2</v>
      </c>
      <c r="F9" s="35">
        <f>INDEX([1]dati_comparti!G:G,MATCH($B9,[1]dati_comparti!$B:$B,0))</f>
        <v>0.375</v>
      </c>
      <c r="G9" s="36">
        <f>INDEX([1]dati_comparti!H:H,MATCH($B9,[1]dati_comparti!$B:$B,0))</f>
        <v>-2.7944532198813724E-3</v>
      </c>
      <c r="H9" s="37">
        <f>INDEX([1]dati_comparti!I:I,MATCH($B9,[1]dati_comparti!$B:$B,0))</f>
        <v>149.81253801090318</v>
      </c>
      <c r="I9" s="37">
        <f>INDEX([1]dati_comparti!J:J,MATCH($B9,[1]dati_comparti!$B:$B,0))</f>
        <v>146.45995187349604</v>
      </c>
      <c r="J9" s="39">
        <f t="shared" si="1"/>
        <v>-2.2378541755718382E-2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0.70170003776092427</v>
      </c>
      <c r="E10" s="34">
        <f t="shared" si="0"/>
        <v>5.1516384765467271E-2</v>
      </c>
      <c r="F10" s="35">
        <f>INDEX([1]dati_comparti!G:G,MATCH($B10,[1]dati_comparti!$B:$B,0))</f>
        <v>0.47368421052631576</v>
      </c>
      <c r="G10" s="36">
        <f>INDEX([1]dati_comparti!H:H,MATCH($B10,[1]dati_comparti!$B:$B,0))</f>
        <v>-4.5588974227520765E-3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194.04543122466779</v>
      </c>
      <c r="J10" s="34">
        <f t="shared" si="1"/>
        <v>4.931953836982414E-2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P8" sqref="P8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6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3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2</v>
      </c>
      <c r="G6" s="42">
        <f>IF(OR(C6="",D6="",E6="",F6=""),"",ROUND(C6*Parametri!C6+D6*Parametri!C7+E6*Parametri!C8+F6*Parametri!C9,2))</f>
        <v>8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-5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6</v>
      </c>
      <c r="G7" s="42">
        <f>IF(OR(C7="",D7="",E7="",F7=""),"",ROUND(C7*Parametri!C6+D7*Parametri!C7+E7*Parametri!C8+F7*Parametri!C9,2))</f>
        <v>1.6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-5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6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4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8</v>
      </c>
      <c r="G8" s="42">
        <f>IF(OR(C8="",D8="",E8="",F8=""),"",ROUND(C8*Parametri!C6+D8*Parametri!C7+E8*Parametri!C8+F8*Parametri!C9,2))</f>
        <v>1.4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0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6</v>
      </c>
      <c r="G10" s="42">
        <f>IF(OR(C10="",D10="",E10="",F10=""),"",ROUND(C10*Parametri!C6+D10*Parametri!C7+E10*Parametri!C8+F10*Parametri!C9,2))</f>
        <v>-3.4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6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2.6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8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3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2.6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Gori</v>
      </c>
      <c r="D18" s="56"/>
      <c r="E18" s="56"/>
      <c r="F18" s="56"/>
      <c r="G18" s="4">
        <f>IFERROR(LARGE(Scoring!G5:G11,4),"")</f>
        <v>1.6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1.4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-3.4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workbookViewId="0">
      <pane ySplit="1" topLeftCell="A2" activePane="bottomLeft" state="frozen"/>
      <selection pane="bottomLeft" activeCell="K22" sqref="K22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6</v>
      </c>
      <c r="D23" s="52">
        <v>0</v>
      </c>
      <c r="E23" s="52">
        <v>0</v>
      </c>
      <c r="F23" s="52">
        <v>6</v>
      </c>
      <c r="G23" s="52">
        <v>3</v>
      </c>
    </row>
    <row r="24" spans="1:7" x14ac:dyDescent="0.25">
      <c r="A24" s="51" t="s">
        <v>74</v>
      </c>
      <c r="B24" s="51" t="s">
        <v>66</v>
      </c>
      <c r="C24" s="52">
        <v>10</v>
      </c>
      <c r="D24" s="52">
        <v>10</v>
      </c>
      <c r="E24" s="52">
        <v>4</v>
      </c>
      <c r="F24" s="52">
        <v>2</v>
      </c>
      <c r="G24" s="52">
        <v>8</v>
      </c>
    </row>
    <row r="25" spans="1:7" x14ac:dyDescent="0.25">
      <c r="A25" s="51" t="s">
        <v>74</v>
      </c>
      <c r="B25" s="51" t="s">
        <v>67</v>
      </c>
      <c r="C25" s="52">
        <v>-5</v>
      </c>
      <c r="D25" s="52">
        <v>10</v>
      </c>
      <c r="E25" s="52">
        <v>0</v>
      </c>
      <c r="F25" s="52">
        <v>6</v>
      </c>
      <c r="G25" s="52">
        <v>1.6</v>
      </c>
    </row>
    <row r="26" spans="1:7" x14ac:dyDescent="0.25">
      <c r="A26" s="51" t="s">
        <v>74</v>
      </c>
      <c r="B26" s="51" t="s">
        <v>68</v>
      </c>
      <c r="C26" s="52">
        <v>-5</v>
      </c>
      <c r="D26" s="52">
        <v>6</v>
      </c>
      <c r="E26" s="52">
        <v>4</v>
      </c>
      <c r="F26" s="52">
        <v>8</v>
      </c>
      <c r="G26" s="52">
        <v>1.4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0</v>
      </c>
      <c r="F28" s="52">
        <v>6</v>
      </c>
      <c r="G28" s="52">
        <v>-3.4</v>
      </c>
    </row>
    <row r="29" spans="1:7" x14ac:dyDescent="0.25">
      <c r="A29" s="51" t="s">
        <v>74</v>
      </c>
      <c r="B29" s="51" t="s">
        <v>8</v>
      </c>
      <c r="C29" s="52">
        <v>6</v>
      </c>
      <c r="D29" s="52">
        <v>0</v>
      </c>
      <c r="E29" s="52">
        <v>0</v>
      </c>
      <c r="F29" s="52">
        <v>2</v>
      </c>
      <c r="G29" s="52">
        <v>2.6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2026-10-01T10:56:56Z</dcterms:modified>
  <dc:language>en-US</dc:language>
</cp:coreProperties>
</file>