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10" documentId="13_ncr:1_{F7652277-F0A9-49F0-AF30-18DB2B3039C1}" xr6:coauthVersionLast="47" xr6:coauthVersionMax="47" xr10:uidLastSave="{4E0B0FC6-F887-4D28-9C34-96311C21A1CD}"/>
  <bookViews>
    <workbookView xWindow="-120" yWindow="-120" windowWidth="29040" windowHeight="17520" tabRatio="81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H9" i="2"/>
  <c r="G9" i="2"/>
  <c r="F9" i="2"/>
  <c r="H8" i="2"/>
  <c r="G8" i="2"/>
  <c r="F8" i="2"/>
  <c r="H7" i="2"/>
  <c r="G7" i="2"/>
  <c r="F7" i="2"/>
  <c r="H6" i="2"/>
  <c r="H5" i="2"/>
  <c r="G5" i="2"/>
  <c r="F5" i="2"/>
  <c r="H4" i="2"/>
  <c r="G4" i="2"/>
  <c r="F4" i="2"/>
  <c r="C10" i="2"/>
  <c r="C9" i="2"/>
  <c r="C8" i="2"/>
  <c r="C7" i="2"/>
  <c r="C6" i="2"/>
  <c r="C5" i="2"/>
  <c r="C4" i="2"/>
  <c r="D1" i="2"/>
  <c r="E11" i="3" l="1"/>
  <c r="D11" i="3"/>
  <c r="E10" i="3"/>
  <c r="D10" i="3"/>
  <c r="E9" i="3"/>
  <c r="D9" i="3"/>
  <c r="E8" i="3"/>
  <c r="D8" i="3"/>
  <c r="E6" i="3"/>
  <c r="D6" i="3"/>
  <c r="E5" i="3"/>
  <c r="D5" i="3"/>
  <c r="B9" i="3"/>
  <c r="B8" i="3"/>
  <c r="B7" i="3"/>
  <c r="B6" i="3"/>
  <c r="B5" i="3"/>
  <c r="C10" i="1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4" i="2"/>
  <c r="E4" i="2" s="1"/>
  <c r="C5" i="3" s="1"/>
  <c r="G5" i="3" s="1"/>
  <c r="D7" i="2" l="1"/>
  <c r="E7" i="2" s="1"/>
  <c r="C8" i="3" s="1"/>
  <c r="G8" i="3" s="1"/>
  <c r="D5" i="2" l="1"/>
  <c r="E5" i="2" s="1"/>
  <c r="C6" i="3" s="1"/>
  <c r="G6" i="3" s="1"/>
  <c r="C15" i="3" l="1"/>
  <c r="C18" i="3"/>
  <c r="G15" i="3"/>
  <c r="C20" i="3"/>
  <c r="C17" i="3"/>
  <c r="G20" i="3"/>
  <c r="G16" i="3"/>
  <c r="C16" i="3"/>
  <c r="G21" i="3"/>
  <c r="G19" i="3"/>
  <c r="C21" i="3"/>
  <c r="G17" i="3"/>
  <c r="C19" i="3"/>
  <c r="G18" i="3"/>
</calcChain>
</file>

<file path=xl/sharedStrings.xml><?xml version="1.0" encoding="utf-8"?>
<sst xmlns="http://schemas.openxmlformats.org/spreadsheetml/2006/main" count="78" uniqueCount="70">
  <si>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</si>
  <si>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</si>
  <si>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</si>
  <si>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</si>
  <si>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</si>
  <si>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</si>
  <si>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</si>
  <si>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</si>
  <si>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</si>
  <si>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</si>
  <si>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</si>
  <si>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</si>
  <si>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</si>
  <si>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</si>
  <si>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</si>
  <si>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</si>
  <si>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</si>
  <si>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</si>
  <si>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</si>
  <si>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</si>
  <si>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</si>
  <si>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</si>
  <si>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</si>
  <si>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</si>
  <si>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</si>
  <si>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</si>
  <si>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</si>
  <si>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</si>
  <si>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</si>
  <si>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</si>
  <si>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</si>
  <si>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</si>
  <si>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</si>
  <si>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</si>
  <si>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COMPARTO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</si>
  <si>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</si>
  <si>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</si>
  <si>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</si>
  <si>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</si>
  <si>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</si>
  <si>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</si>
  <si>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</si>
  <si>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</si>
  <si>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</si>
  <si>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</si>
  <si>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</si>
  <si>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</si>
  <si>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</si>
  <si>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ITS</t>
  </si>
  <si>
    <t>Medicale</t>
  </si>
  <si>
    <t>Punteggio
Produttività</t>
  </si>
  <si>
    <t>Punteggio
IUQ</t>
  </si>
  <si>
    <t>Punteggio
LDS</t>
  </si>
  <si>
    <t>Punteggio
TMG</t>
  </si>
  <si>
    <t>SCORE
COMPOSITO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</si>
  <si>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</si>
  <si>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</si>
  <si>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</si>
  <si>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</si>
  <si>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</si>
  <si>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</si>
  <si>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</si>
  <si>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</si>
  <si>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</si>
  <si>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</si>
  <si>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</si>
  <si>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</si>
  <si>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Mese</t>
  </si>
  <si>
    <t>Dati al</t>
  </si>
  <si>
    <t>🏆  SCORING COMPARTI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</si>
</sst>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4"/>
      <color theme="1"/>
      <name val="Aptos Narrow"/>
      <family val="2"/>
    </font>
    <font>
      <sz val="11"/>
      <color rgb="FF2E5FA3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7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7" fillId="11" borderId="2" xfId="0" applyNumberFormat="1" applyFont="1" applyFill="1" applyBorder="1" applyAlignment="1">
      <alignment horizontal="center" vertical="center"/>
    </xf>
    <xf numFmtId="164" fontId="17" fillId="14" borderId="2" xfId="0" applyNumberFormat="1" applyFont="1" applyFill="1" applyBorder="1" applyAlignment="1">
      <alignment horizontal="center" vertical="center"/>
    </xf>
    <xf numFmtId="165" fontId="17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14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18" fillId="0" borderId="4" xfId="0" applyFont="1" applyBorder="1" applyAlignment="1">
      <alignment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46197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0.67288126933294345</v>
          </cell>
          <cell r="G4">
            <v>0.75409836065573765</v>
          </cell>
          <cell r="H4">
            <v>2.0863125544018722E-2</v>
          </cell>
          <cell r="I4">
            <v>232.07216445995408</v>
          </cell>
          <cell r="J4">
            <v>226.71692117574366</v>
          </cell>
        </row>
        <row r="5">
          <cell r="B5" t="str">
            <v>Editoria</v>
          </cell>
          <cell r="D5">
            <v>0.76087748780872522</v>
          </cell>
          <cell r="E5">
            <v>0.84050370747214265</v>
          </cell>
          <cell r="G5">
            <v>1</v>
          </cell>
          <cell r="H5">
            <v>4.5718168667128148E-2</v>
          </cell>
          <cell r="I5">
            <v>250.86808983502152</v>
          </cell>
          <cell r="J5">
            <v>261.24873247837758</v>
          </cell>
        </row>
        <row r="6">
          <cell r="B6" t="str">
            <v>Gori</v>
          </cell>
          <cell r="D6">
            <v>0.7887875467257508</v>
          </cell>
          <cell r="E6">
            <v>0.74406974197222586</v>
          </cell>
          <cell r="G6">
            <v>0.97345516269998922</v>
          </cell>
          <cell r="H6">
            <v>1.3455162699989254E-2</v>
          </cell>
          <cell r="I6">
            <v>218.70039150583702</v>
          </cell>
          <cell r="J6">
            <v>229.13155746827928</v>
          </cell>
        </row>
        <row r="7">
          <cell r="B7" t="str">
            <v>Idrico</v>
          </cell>
          <cell r="D7">
            <v>0.61747392211126917</v>
          </cell>
          <cell r="E7">
            <v>0.64454349794163956</v>
          </cell>
          <cell r="G7">
            <v>0.72727272727272729</v>
          </cell>
          <cell r="H7">
            <v>9.7777660820502731E-3</v>
          </cell>
          <cell r="I7">
            <v>200.75789235670646</v>
          </cell>
          <cell r="J7">
            <v>195.40958908816052</v>
          </cell>
        </row>
        <row r="8">
          <cell r="B8" t="str">
            <v>Igiene Ambientale</v>
          </cell>
          <cell r="D8">
            <v>0.63270000000000004</v>
          </cell>
          <cell r="E8">
            <v>0.6466822714305186</v>
          </cell>
          <cell r="G8">
            <v>0.42105263157894735</v>
          </cell>
          <cell r="H8">
            <v>-8.0095997499395541E-2</v>
          </cell>
          <cell r="I8">
            <v>146.53039613498757</v>
          </cell>
          <cell r="J8">
            <v>130.97797029702974</v>
          </cell>
        </row>
        <row r="9">
          <cell r="B9" t="str">
            <v>ITS</v>
          </cell>
          <cell r="D9">
            <v>0.67570553852501991</v>
          </cell>
          <cell r="E9">
            <v>0.45692625777453644</v>
          </cell>
          <cell r="G9">
            <v>0.7142857142857143</v>
          </cell>
          <cell r="H9">
            <v>-5.0947532840328168E-3</v>
          </cell>
          <cell r="I9">
            <v>149.81253801090318</v>
          </cell>
          <cell r="J9">
            <v>133.49923136049193</v>
          </cell>
        </row>
        <row r="10">
          <cell r="B10" t="str">
            <v>Medicale</v>
          </cell>
          <cell r="D10">
            <v>0.650183652995457</v>
          </cell>
          <cell r="E10">
            <v>0.66081500499357482</v>
          </cell>
          <cell r="G10">
            <v>0.27027027027027029</v>
          </cell>
          <cell r="H10">
            <v>-1.3478441873743046E-2</v>
          </cell>
          <cell r="I10">
            <v>184.92501485879896</v>
          </cell>
          <cell r="J10">
            <v>187.7666542265348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16384" width="8.7109375" style="5"/>
  </cols>
  <sheetData>
    <row r="1" spans="2:4" ht="6" customHeight="1" x14ac:dyDescent="0.25"/>
    <row r="2" spans="2:4" ht="18.75" x14ac:dyDescent="0.25">
      <c r="B2" s="50" t="s">
        <v>0</v>
      </c>
      <c r="C2" s="51"/>
      <c r="D2" s="51"/>
    </row>
    <row r="3" spans="2:4" ht="6" customHeight="1" x14ac:dyDescent="0.25"/>
    <row r="4" spans="2:4" x14ac:dyDescent="0.25">
      <c r="B4" s="56" t="s">
        <v>1</v>
      </c>
      <c r="C4" s="53"/>
      <c r="D4" s="53"/>
    </row>
    <row r="5" spans="2:4" x14ac:dyDescent="0.25">
      <c r="B5" s="14" t="s">
        <v>2</v>
      </c>
      <c r="C5" s="14" t="s">
        <v>3</v>
      </c>
      <c r="D5" s="14" t="s">
        <v>4</v>
      </c>
    </row>
    <row r="6" spans="2:4" x14ac:dyDescent="0.25">
      <c r="B6" s="15" t="s">
        <v>5</v>
      </c>
      <c r="C6" s="6">
        <v>0.4</v>
      </c>
      <c r="D6" s="16" t="s">
        <v>6</v>
      </c>
    </row>
    <row r="7" spans="2:4" x14ac:dyDescent="0.25">
      <c r="B7" s="17" t="s">
        <v>7</v>
      </c>
      <c r="C7" s="7">
        <v>0.3</v>
      </c>
      <c r="D7" s="16" t="s">
        <v>8</v>
      </c>
    </row>
    <row r="8" spans="2:4" x14ac:dyDescent="0.25">
      <c r="B8" s="18" t="s">
        <v>9</v>
      </c>
      <c r="C8" s="8">
        <v>0.2</v>
      </c>
      <c r="D8" s="16" t="s">
        <v>10</v>
      </c>
    </row>
    <row r="9" spans="2:4" x14ac:dyDescent="0.25">
      <c r="B9" s="19" t="s">
        <v>11</v>
      </c>
      <c r="C9" s="9">
        <v>0.1</v>
      </c>
      <c r="D9" s="16" t="s">
        <v>12</v>
      </c>
    </row>
    <row r="10" spans="2:4" x14ac:dyDescent="0.25">
      <c r="B10" s="14" t="s">
        <v>13</v>
      </c>
      <c r="C10" s="10">
        <f>SUM(C6:C9)</f>
        <v>0.99999999999999989</v>
      </c>
      <c r="D10" s="20" t="s">
        <v>14</v>
      </c>
    </row>
    <row r="11" spans="2:4" ht="6" customHeight="1" x14ac:dyDescent="0.25"/>
    <row r="12" spans="2:4" x14ac:dyDescent="0.25">
      <c r="B12" s="57" t="s">
        <v>15</v>
      </c>
      <c r="C12" s="53"/>
      <c r="D12" s="53"/>
    </row>
    <row r="13" spans="2:4" x14ac:dyDescent="0.25">
      <c r="B13" s="14" t="s">
        <v>16</v>
      </c>
      <c r="C13" s="14" t="s">
        <v>17</v>
      </c>
      <c r="D13" s="14" t="s">
        <v>18</v>
      </c>
    </row>
    <row r="14" spans="2:4" x14ac:dyDescent="0.25">
      <c r="B14" s="21" t="s">
        <v>19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20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52" t="s">
        <v>21</v>
      </c>
      <c r="C23" s="53"/>
      <c r="D23" s="53"/>
    </row>
    <row r="24" spans="2:4" x14ac:dyDescent="0.25">
      <c r="B24" s="14" t="s">
        <v>22</v>
      </c>
      <c r="C24" s="14" t="s">
        <v>23</v>
      </c>
      <c r="D24" s="14" t="s">
        <v>18</v>
      </c>
    </row>
    <row r="25" spans="2:4" x14ac:dyDescent="0.25">
      <c r="B25" s="21" t="s">
        <v>24</v>
      </c>
      <c r="C25" s="21" t="s">
        <v>25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55" t="s">
        <v>26</v>
      </c>
      <c r="C32" s="53"/>
      <c r="D32" s="53"/>
    </row>
    <row r="33" spans="2:4" x14ac:dyDescent="0.25">
      <c r="B33" s="14" t="s">
        <v>27</v>
      </c>
      <c r="C33" s="14" t="s">
        <v>28</v>
      </c>
      <c r="D33" s="14" t="s">
        <v>18</v>
      </c>
    </row>
    <row r="34" spans="2:4" x14ac:dyDescent="0.25">
      <c r="B34" s="21" t="s">
        <v>29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30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54" t="s">
        <v>31</v>
      </c>
      <c r="C41" s="53"/>
      <c r="D41" s="53"/>
    </row>
    <row r="42" spans="2:4" x14ac:dyDescent="0.25">
      <c r="B42" s="14" t="s">
        <v>16</v>
      </c>
      <c r="C42" s="14" t="s">
        <v>17</v>
      </c>
      <c r="D42" s="14" t="s">
        <v>18</v>
      </c>
    </row>
    <row r="43" spans="2:4" x14ac:dyDescent="0.25">
      <c r="B43" s="21" t="s">
        <v>32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33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60" zoomScaleNormal="160" workbookViewId="0">
      <selection activeCell="E15" sqref="E15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6384" width="8.7109375" style="5"/>
  </cols>
  <sheetData>
    <row r="1" spans="2:10" x14ac:dyDescent="0.25">
      <c r="C1" s="47" t="s">
        <v>67</v>
      </c>
      <c r="D1" s="49">
        <f>'[1]db iniziale'!$B$1</f>
        <v>46174</v>
      </c>
    </row>
    <row r="2" spans="2:10" x14ac:dyDescent="0.25">
      <c r="C2" s="47" t="s">
        <v>68</v>
      </c>
      <c r="D2" s="48">
        <f ca="1">'[1]Riepilogo mese per Commessa'!$D$1-1</f>
        <v>46196</v>
      </c>
    </row>
    <row r="3" spans="2:10" ht="30" x14ac:dyDescent="0.25">
      <c r="B3" s="27" t="s">
        <v>34</v>
      </c>
      <c r="C3" s="28" t="s">
        <v>35</v>
      </c>
      <c r="D3" s="28" t="s">
        <v>36</v>
      </c>
      <c r="E3" s="28" t="s">
        <v>37</v>
      </c>
      <c r="F3" s="29" t="s">
        <v>38</v>
      </c>
      <c r="G3" s="30" t="s">
        <v>39</v>
      </c>
      <c r="H3" s="31" t="s">
        <v>40</v>
      </c>
      <c r="I3" s="31" t="s">
        <v>41</v>
      </c>
      <c r="J3" s="31" t="s">
        <v>42</v>
      </c>
    </row>
    <row r="4" spans="2:10" x14ac:dyDescent="0.25">
      <c r="B4" s="32" t="s">
        <v>43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0.67288126933294345</v>
      </c>
      <c r="E4" s="34">
        <f ca="1">IF(C4=0,"",IF(D4="","",(D4-C4)))</f>
        <v>2.2952194207800924E-2</v>
      </c>
      <c r="F4" s="35">
        <f>INDEX([1]dati_comparti!G:G,MATCH($B4,[1]dati_comparti!$B:$B,0))</f>
        <v>0.75409836065573765</v>
      </c>
      <c r="G4" s="36">
        <f>INDEX([1]dati_comparti!H:H,MATCH($B4,[1]dati_comparti!$B:$B,0))</f>
        <v>2.0863125544018722E-2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226.71692117574366</v>
      </c>
      <c r="J4" s="34">
        <f t="shared" ref="J4:J10" ca="1" si="0">IF(H4=0,"",IF(I4="","",(I4-H4)/H4))</f>
        <v>-2.3075767387581318E-2</v>
      </c>
    </row>
    <row r="5" spans="2:10" x14ac:dyDescent="0.25">
      <c r="B5" s="38" t="s">
        <v>44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0.84050370747214265</v>
      </c>
      <c r="E5" s="39">
        <f t="shared" ref="E5:E10" ca="1" si="1">IF(C5=0,"",IF(D5="","",(D5-C5)))</f>
        <v>7.962621966341743E-2</v>
      </c>
      <c r="F5" s="35">
        <f>INDEX([1]dati_comparti!G:G,MATCH($B5,[1]dati_comparti!$B:$B,0))</f>
        <v>1</v>
      </c>
      <c r="G5" s="36">
        <f>INDEX([1]dati_comparti!H:H,MATCH($B5,[1]dati_comparti!$B:$B,0))</f>
        <v>4.5718168667128148E-2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261.24873247837758</v>
      </c>
      <c r="J5" s="39">
        <f t="shared" ca="1" si="0"/>
        <v>4.1378888204484994E-2</v>
      </c>
    </row>
    <row r="6" spans="2:10" x14ac:dyDescent="0.25">
      <c r="B6" s="32" t="s">
        <v>45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0.74406974197222586</v>
      </c>
      <c r="E6" s="34">
        <f t="shared" ca="1" si="1"/>
        <v>-4.4717804753524937E-2</v>
      </c>
      <c r="F6" s="35">
        <f ca="1">INDEX([1]dati_comparti!G:G,MATCH($B6,[1]dati_comparti!$B:$B,0))</f>
        <v>0.97345516269998922</v>
      </c>
      <c r="G6" s="36">
        <f ca="1">INDEX([1]dati_comparti!H:H,MATCH($B6,[1]dati_comparti!$B:$B,0))</f>
        <v>1.3455162699989254E-2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229.13155746827928</v>
      </c>
      <c r="J6" s="34">
        <f t="shared" ca="1" si="0"/>
        <v>4.7696146726668574E-2</v>
      </c>
    </row>
    <row r="7" spans="2:10" x14ac:dyDescent="0.25">
      <c r="B7" s="38" t="s">
        <v>46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0.64454349794163956</v>
      </c>
      <c r="E7" s="39">
        <f t="shared" ca="1" si="1"/>
        <v>2.7069575830370396E-2</v>
      </c>
      <c r="F7" s="35">
        <f>INDEX([1]dati_comparti!G:G,MATCH($B7,[1]dati_comparti!$B:$B,0))</f>
        <v>0.72727272727272729</v>
      </c>
      <c r="G7" s="36">
        <f>INDEX([1]dati_comparti!H:H,MATCH($B7,[1]dati_comparti!$B:$B,0))</f>
        <v>9.7777660820502731E-3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195.40958908816052</v>
      </c>
      <c r="J7" s="39">
        <f t="shared" ca="1" si="0"/>
        <v>-2.6640562947548217E-2</v>
      </c>
    </row>
    <row r="8" spans="2:10" x14ac:dyDescent="0.25">
      <c r="B8" s="32" t="s">
        <v>47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0.6466822714305186</v>
      </c>
      <c r="E8" s="34">
        <f t="shared" ca="1" si="1"/>
        <v>1.3982271430518556E-2</v>
      </c>
      <c r="F8" s="35">
        <f>INDEX([1]dati_comparti!G:G,MATCH($B8,[1]dati_comparti!$B:$B,0))</f>
        <v>0.42105263157894735</v>
      </c>
      <c r="G8" s="36">
        <f>INDEX([1]dati_comparti!H:H,MATCH($B8,[1]dati_comparti!$B:$B,0))</f>
        <v>-8.0095997499395541E-2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130.97797029702974</v>
      </c>
      <c r="J8" s="34">
        <f t="shared" ca="1" si="0"/>
        <v>-0.10613788161488714</v>
      </c>
    </row>
    <row r="9" spans="2:10" x14ac:dyDescent="0.25">
      <c r="B9" s="38" t="s">
        <v>48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0.45692625777453644</v>
      </c>
      <c r="E9" s="39">
        <f t="shared" ca="1" si="1"/>
        <v>-0.21877928075048347</v>
      </c>
      <c r="F9" s="35">
        <f>INDEX([1]dati_comparti!G:G,MATCH($B9,[1]dati_comparti!$B:$B,0))</f>
        <v>0.7142857142857143</v>
      </c>
      <c r="G9" s="36">
        <f>INDEX([1]dati_comparti!H:H,MATCH($B9,[1]dati_comparti!$B:$B,0))</f>
        <v>-5.0947532840328168E-3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133.49923136049193</v>
      </c>
      <c r="J9" s="39">
        <f t="shared" ca="1" si="0"/>
        <v>-0.10889146440616329</v>
      </c>
    </row>
    <row r="10" spans="2:10" x14ac:dyDescent="0.25">
      <c r="B10" s="32" t="s">
        <v>49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0.66081500499357482</v>
      </c>
      <c r="E10" s="34">
        <f t="shared" ca="1" si="1"/>
        <v>1.0631351998117822E-2</v>
      </c>
      <c r="F10" s="35">
        <f>INDEX([1]dati_comparti!G:G,MATCH($B10,[1]dati_comparti!$B:$B,0))</f>
        <v>0.27027027027027029</v>
      </c>
      <c r="G10" s="36">
        <f>INDEX([1]dati_comparti!H:H,MATCH($B10,[1]dati_comparti!$B:$B,0))</f>
        <v>-1.3478441873743046E-2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187.7666542265348</v>
      </c>
      <c r="J10" s="34">
        <f t="shared" ca="1" si="0"/>
        <v>1.5366441202698264E-2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0" sqref="K10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16384" width="8.7109375" style="5"/>
  </cols>
  <sheetData>
    <row r="2" spans="2:7" ht="18.75" x14ac:dyDescent="0.25">
      <c r="B2" s="50" t="s">
        <v>69</v>
      </c>
      <c r="C2" s="51"/>
      <c r="D2" s="51"/>
      <c r="E2" s="51"/>
      <c r="F2" s="51"/>
      <c r="G2" s="51"/>
    </row>
    <row r="4" spans="2:7" ht="30" x14ac:dyDescent="0.25">
      <c r="B4" s="27" t="s">
        <v>34</v>
      </c>
      <c r="C4" s="28" t="s">
        <v>50</v>
      </c>
      <c r="D4" s="29" t="s">
        <v>51</v>
      </c>
      <c r="E4" s="30" t="s">
        <v>52</v>
      </c>
      <c r="F4" s="31" t="s">
        <v>53</v>
      </c>
      <c r="G4" s="40" t="s">
        <v>54</v>
      </c>
    </row>
    <row r="5" spans="2:7" x14ac:dyDescent="0.25">
      <c r="B5" s="32" t="str">
        <f>'Dati Comparti'!B4</f>
        <v>Centro Servizi</v>
      </c>
      <c r="C5" s="41">
        <f ca="1">_xlfn.SINGLE(IF('Dati Comparti'!E4="","",IF('Dati Comparti'!E4&gt;=0.08,Parametri!D14,IF('Dati Comparti'!E4&lt;-0.04,Parametri!D21,_xlfn.XLOOKUP('Dati Comparti'!E4,Parametri!B15:B20,Parametri!D15:D20,,-1,1)))))</f>
        <v>4</v>
      </c>
      <c r="D5" s="41">
        <f>_xlfn.SINGLE(IF('Dati Comparti'!F4="","",IF('Dati Comparti'!F4&gt;=0.95,Parametri!D25,_xlfn.XLOOKUP('Dati Comparti'!F4,Parametri!B26:B30,Parametri!D26:D30,Parametri!D30,-1,1))))</f>
        <v>2</v>
      </c>
      <c r="E5" s="41">
        <f>_xlfn.SINGLE(IF('Dati Comparti'!G4="","",IF('Dati Comparti'!G4&gt;0.12,Parametri!D34,_xlfn.XLOOKUP('Dati Comparti'!G4,Parametri!C35:C39,Parametri!D35:D39,Parametri!D39,1,1))))</f>
        <v>2</v>
      </c>
      <c r="F5" s="41">
        <f ca="1">_xlfn.SINGLE(IF('Dati Comparti'!J4="","",IF('Dati Comparti'!J4&lt;=-0.1,Parametri!D43,IF('Dati Comparti'!J4&gt;=0.1,Parametri!D48,_xlfn.XLOOKUP('Dati Comparti'!J4,Parametri!C44:C47,Parametri!D44:D47,,1,1)))))</f>
        <v>6</v>
      </c>
      <c r="G5" s="42">
        <f ca="1">IF(OR(C5="",D5="",E5="",F5=""),"",ROUND(C5*Parametri!C6+D5*Parametri!C7+E5*Parametri!C8+F5*Parametri!C9,2))</f>
        <v>3.2</v>
      </c>
    </row>
    <row r="6" spans="2:7" x14ac:dyDescent="0.25">
      <c r="B6" s="38" t="str">
        <f>'Dati Comparti'!B5</f>
        <v>Editoria</v>
      </c>
      <c r="C6" s="43">
        <f ca="1">_xlfn.SINGLE(IF('Dati Comparti'!E5="","",IF('Dati Comparti'!E5&gt;=0.08,Parametri!D14,IF('Dati Comparti'!E5&lt;-0.04,Parametri!D21,_xlfn.XLOOKUP('Dati Comparti'!E5,Parametri!B15:B20,Parametri!D15:D20,,-1,1)))))</f>
        <v>8</v>
      </c>
      <c r="D6" s="43">
        <f>_xlfn.SINGLE(IF('Dati Comparti'!F5="","",IF('Dati Comparti'!F5&gt;=0.95,Parametri!D25,_xlfn.XLOOKUP('Dati Comparti'!F5,Parametri!B26:B30,Parametri!D26:D30,Parametri!D30,-1,1))))</f>
        <v>10</v>
      </c>
      <c r="E6" s="43">
        <f>_xlfn.SINGLE(IF('Dati Comparti'!G5="","",IF('Dati Comparti'!G5&gt;0.12,Parametri!D34,_xlfn.XLOOKUP('Dati Comparti'!G5,Parametri!C35:C39,Parametri!D35:D39,Parametri!D39,1,1))))</f>
        <v>4</v>
      </c>
      <c r="F6" s="43">
        <f ca="1">_xlfn.SINGLE(IF('Dati Comparti'!J5="","",IF('Dati Comparti'!J5&lt;=-0.1,Parametri!D43,IF('Dati Comparti'!J5&gt;=0.1,Parametri!D48,_xlfn.XLOOKUP('Dati Comparti'!J5,Parametri!C44:C47,Parametri!D44:D47,,1,1)))))</f>
        <v>4</v>
      </c>
      <c r="G6" s="42">
        <f ca="1">IF(OR(C6="",D6="",E6="",F6=""),"",ROUND(C6*Parametri!C6+D6*Parametri!C7+E6*Parametri!C8+F6*Parametri!C9,2))</f>
        <v>7.4</v>
      </c>
    </row>
    <row r="7" spans="2:7" x14ac:dyDescent="0.25">
      <c r="B7" s="32" t="str">
        <f>'Dati Comparti'!B6</f>
        <v>Gori</v>
      </c>
      <c r="C7" s="41">
        <f ca="1">_xlfn.SINGLE(IF('Dati Comparti'!E6="","",IF('Dati Comparti'!E6&gt;=0.08,Parametri!D14,IF('Dati Comparti'!E6&lt;-0.04,Parametri!D21,_xlfn.XLOOKUP('Dati Comparti'!E6,Parametri!B15:B20,Parametri!D15:D20,,-1,1)))))</f>
        <v>-10</v>
      </c>
      <c r="D7" s="41">
        <f ca="1">_xlfn.SINGLE(IF('Dati Comparti'!F6="","",IF('Dati Comparti'!F6&gt;=0.95,Parametri!D25,_xlfn.XLOOKUP('Dati Comparti'!F6,Parametri!B26:B30,Parametri!D26:D30,Parametri!D30,-1,1))))</f>
        <v>10</v>
      </c>
      <c r="E7" s="41">
        <f ca="1">_xlfn.SINGLE(IF('Dati Comparti'!G6="","",IF('Dati Comparti'!G6&gt;0.12,Parametri!D34,_xlfn.XLOOKUP('Dati Comparti'!G6,Parametri!C35:C39,Parametri!D35:D39,Parametri!D39,1,1))))</f>
        <v>2</v>
      </c>
      <c r="F7" s="41">
        <f ca="1">_xlfn.SINGLE(IF('Dati Comparti'!J6="","",IF('Dati Comparti'!J6&lt;=-0.1,Parametri!D43,IF('Dati Comparti'!J6&gt;=0.1,Parametri!D48,_xlfn.XLOOKUP('Dati Comparti'!J6,Parametri!C44:C47,Parametri!D44:D47,,1,1)))))</f>
        <v>4</v>
      </c>
      <c r="G7" s="42">
        <f ca="1">IF(OR(C7="",D7="",E7="",F7=""),"",ROUND(C7*Parametri!C6+D7*Parametri!C7+E7*Parametri!C8+F7*Parametri!C9,2))</f>
        <v>-0.2</v>
      </c>
    </row>
    <row r="8" spans="2:7" x14ac:dyDescent="0.25">
      <c r="B8" s="38" t="str">
        <f>'Dati Comparti'!B7</f>
        <v>Idrico</v>
      </c>
      <c r="C8" s="43">
        <f ca="1">_xlfn.SINGLE(IF('Dati Comparti'!E7="","",IF('Dati Comparti'!E7&gt;=0.08,Parametri!D14,IF('Dati Comparti'!E7&lt;-0.04,Parametri!D21,_xlfn.XLOOKUP('Dati Comparti'!E7,Parametri!B15:B20,Parametri!D15:D20,,-1,1)))))</f>
        <v>4</v>
      </c>
      <c r="D8" s="43">
        <f>_xlfn.SINGLE(IF('Dati Comparti'!F7="","",IF('Dati Comparti'!F7&gt;=0.95,Parametri!D25,_xlfn.XLOOKUP('Dati Comparti'!F7,Parametri!B26:B30,Parametri!D26:D30,Parametri!D30,-1,1))))</f>
        <v>2</v>
      </c>
      <c r="E8" s="43">
        <f>_xlfn.SINGLE(IF('Dati Comparti'!G7="","",IF('Dati Comparti'!G7&gt;0.12,Parametri!D34,_xlfn.XLOOKUP('Dati Comparti'!G7,Parametri!C35:C39,Parametri!D35:D39,Parametri!D39,1,1))))</f>
        <v>0</v>
      </c>
      <c r="F8" s="43">
        <f ca="1">_xlfn.SINGLE(IF('Dati Comparti'!J7="","",IF('Dati Comparti'!J7&lt;=-0.1,Parametri!D43,IF('Dati Comparti'!J7&gt;=0.1,Parametri!D48,_xlfn.XLOOKUP('Dati Comparti'!J7,Parametri!C44:C47,Parametri!D44:D47,,1,1)))))</f>
        <v>6</v>
      </c>
      <c r="G8" s="42">
        <f ca="1">IF(OR(C8="",D8="",E8="",F8=""),"",ROUND(C8*Parametri!C6+D8*Parametri!C7+E8*Parametri!C8+F8*Parametri!C9,2))</f>
        <v>2.8</v>
      </c>
    </row>
    <row r="9" spans="2:7" x14ac:dyDescent="0.25">
      <c r="B9" s="32" t="str">
        <f>'Dati Comparti'!B8</f>
        <v>Igiene Ambientale</v>
      </c>
      <c r="C9" s="41">
        <f ca="1">_xlfn.SINGLE(IF('Dati Comparti'!E8="","",IF('Dati Comparti'!E8&gt;=0.08,Parametri!D14,IF('Dati Comparti'!E8&lt;-0.04,Parametri!D21,_xlfn.XLOOKUP('Dati Comparti'!E8,Parametri!B15:B20,Parametri!D15:D20,,-1,1)))))</f>
        <v>2</v>
      </c>
      <c r="D9" s="41">
        <f>_xlfn.SINGLE(IF('Dati Comparti'!F8="","",IF('Dati Comparti'!F8&gt;=0.95,Parametri!D25,_xlfn.XLOOKUP('Dati Comparti'!F8,Parametri!B26:B30,Parametri!D26:D30,Parametri!D30,-1,1))))</f>
        <v>0</v>
      </c>
      <c r="E9" s="41">
        <f>_xlfn.SINGLE(IF('Dati Comparti'!G8="","",IF('Dati Comparti'!G8&gt;0.12,Parametri!D34,_xlfn.XLOOKUP('Dati Comparti'!G8,Parametri!C35:C39,Parametri!D35:D39,Parametri!D39,1,1))))</f>
        <v>0</v>
      </c>
      <c r="F9" s="41">
        <f ca="1">_xlfn.SINGLE(IF('Dati Comparti'!J8="","",IF('Dati Comparti'!J8&lt;=-0.1,Parametri!D43,IF('Dati Comparti'!J8&gt;=0.1,Parametri!D48,_xlfn.XLOOKUP('Dati Comparti'!J8,Parametri!C44:C47,Parametri!D44:D47,,1,1)))))</f>
        <v>10</v>
      </c>
      <c r="G9" s="42">
        <f ca="1">IF(OR(C9="",D9="",E9="",F9=""),"",ROUND(C9*Parametri!C6+D9*Parametri!C7+E9*Parametri!C8+F9*Parametri!C9,2))</f>
        <v>1.8</v>
      </c>
    </row>
    <row r="10" spans="2:7" x14ac:dyDescent="0.25">
      <c r="B10" s="38" t="s">
        <v>48</v>
      </c>
      <c r="C10" s="43">
        <f ca="1">_xlfn.SINGLE(IF('Dati Comparti'!E9="","",IF('Dati Comparti'!E9&gt;=0.08,Parametri!D14,IF('Dati Comparti'!E9&lt;-0.04,Parametri!D21,_xlfn.XLOOKUP('Dati Comparti'!E9,Parametri!B15:B20,Parametri!D15:D20,,-1,1)))))</f>
        <v>-10</v>
      </c>
      <c r="D10" s="43">
        <f>_xlfn.SINGLE(IF('Dati Comparti'!F9="","",IF('Dati Comparti'!F9&gt;=0.95,Parametri!D25,_xlfn.XLOOKUP('Dati Comparti'!F9,Parametri!B26:B30,Parametri!D26:D30,Parametri!D30,-1,1))))</f>
        <v>2</v>
      </c>
      <c r="E10" s="43">
        <f>_xlfn.SINGLE(IF('Dati Comparti'!G9="","",IF('Dati Comparti'!G9&gt;0.12,Parametri!D34,_xlfn.XLOOKUP('Dati Comparti'!G9,Parametri!C35:C39,Parametri!D35:D39,Parametri!D39,1,1))))</f>
        <v>0</v>
      </c>
      <c r="F10" s="43">
        <f ca="1">_xlfn.SINGLE(IF('Dati Comparti'!J9="","",IF('Dati Comparti'!J9&lt;=-0.1,Parametri!D43,IF('Dati Comparti'!J9&gt;=0.1,Parametri!D48,_xlfn.XLOOKUP('Dati Comparti'!J9,Parametri!C44:C47,Parametri!D44:D47,,1,1)))))</f>
        <v>10</v>
      </c>
      <c r="G10" s="42">
        <f ca="1">IF(OR(C10="",D10="",E10="",F10=""),"",ROUND(C10*Parametri!C6+D10*Parametri!C7+E10*Parametri!C8+F10*Parametri!C9,2))</f>
        <v>-2.4</v>
      </c>
    </row>
    <row r="11" spans="2:7" x14ac:dyDescent="0.25">
      <c r="B11" s="32" t="s">
        <v>49</v>
      </c>
      <c r="C11" s="41">
        <f ca="1">_xlfn.SINGLE(IF('Dati Comparti'!E10="","",IF('Dati Comparti'!E10&gt;=0.08,Parametri!D14,IF('Dati Comparti'!E10&lt;-0.04,Parametri!D21,_xlfn.XLOOKUP('Dati Comparti'!E10,Parametri!B15:B20,Parametri!D15:D20,,-1,1)))))</f>
        <v>2</v>
      </c>
      <c r="D11" s="41">
        <f>_xlfn.SINGLE(IF('Dati Comparti'!F10="","",IF('Dati Comparti'!F10&gt;=0.95,Parametri!D25,_xlfn.XLOOKUP('Dati Comparti'!F10,Parametri!B26:B30,Parametri!D26:D30,Parametri!D30,-1,1))))</f>
        <v>0</v>
      </c>
      <c r="E11" s="41">
        <f>_xlfn.SINGLE(IF('Dati Comparti'!G10="","",IF('Dati Comparti'!G10&gt;0.12,Parametri!D34,_xlfn.XLOOKUP('Dati Comparti'!G10,Parametri!C35:C39,Parametri!D35:D39,Parametri!D39,1,1))))</f>
        <v>0</v>
      </c>
      <c r="F11" s="41">
        <f ca="1">_xlfn.SINGLE(IF('Dati Comparti'!J10="","",IF('Dati Comparti'!J10&lt;=-0.1,Parametri!D43,IF('Dati Comparti'!J10&gt;=0.1,Parametri!D48,_xlfn.XLOOKUP('Dati Comparti'!J10,Parametri!C44:C47,Parametri!D44:D47,,1,1)))))</f>
        <v>4</v>
      </c>
      <c r="G11" s="42">
        <f ca="1">IF(OR(C11="",D11="",E11="",F11=""),"",ROUND(C11*Parametri!C6+D11*Parametri!C7+E11*Parametri!C8+F11*Parametri!C9,2))</f>
        <v>1.2</v>
      </c>
    </row>
    <row r="13" spans="2:7" x14ac:dyDescent="0.25">
      <c r="B13" s="64" t="s">
        <v>55</v>
      </c>
      <c r="C13" s="53"/>
      <c r="D13" s="53"/>
      <c r="E13" s="53"/>
      <c r="F13" s="53"/>
      <c r="G13" s="53"/>
    </row>
    <row r="14" spans="2:7" x14ac:dyDescent="0.25">
      <c r="B14" s="14" t="s">
        <v>56</v>
      </c>
      <c r="C14" s="65" t="s">
        <v>57</v>
      </c>
      <c r="D14" s="53"/>
      <c r="E14" s="53"/>
      <c r="F14" s="66"/>
      <c r="G14" s="14" t="s">
        <v>58</v>
      </c>
    </row>
    <row r="15" spans="2:7" x14ac:dyDescent="0.25">
      <c r="B15" s="44" t="s">
        <v>59</v>
      </c>
      <c r="C15" s="63" t="str">
        <f ca="1">IFERROR(INDEX(Scoring!B5:B11,MATCH(LARGE(Scoring!G5:G11,1),Scoring!G5:G11,0)),"")</f>
        <v>Editoria</v>
      </c>
      <c r="D15" s="53"/>
      <c r="E15" s="53"/>
      <c r="F15" s="53"/>
      <c r="G15" s="1">
        <f ca="1">IFERROR(LARGE(Scoring!G5:G11,1),"")</f>
        <v>7.4</v>
      </c>
    </row>
    <row r="16" spans="2:7" x14ac:dyDescent="0.25">
      <c r="B16" s="45" t="s">
        <v>60</v>
      </c>
      <c r="C16" s="62" t="str">
        <f ca="1">IFERROR(INDEX(Scoring!B5:B11,MATCH(LARGE(Scoring!G5:G11,2),Scoring!G5:G11,0)),"")</f>
        <v>Centro Servizi</v>
      </c>
      <c r="D16" s="53"/>
      <c r="E16" s="53"/>
      <c r="F16" s="53"/>
      <c r="G16" s="2">
        <f ca="1">IFERROR(LARGE(Scoring!G5:G11,2),"")</f>
        <v>3.2</v>
      </c>
    </row>
    <row r="17" spans="2:7" x14ac:dyDescent="0.25">
      <c r="B17" s="46" t="s">
        <v>61</v>
      </c>
      <c r="C17" s="59" t="str">
        <f ca="1">IFERROR(INDEX(Scoring!B5:B11,MATCH(LARGE(Scoring!G5:G11,3),Scoring!G5:G11,0)),"")</f>
        <v>Idrico</v>
      </c>
      <c r="D17" s="53"/>
      <c r="E17" s="53"/>
      <c r="F17" s="53"/>
      <c r="G17" s="3">
        <f ca="1">IFERROR(LARGE(Scoring!G5:G11,3),"")</f>
        <v>2.8</v>
      </c>
    </row>
    <row r="18" spans="2:7" x14ac:dyDescent="0.25">
      <c r="B18" s="14" t="s">
        <v>62</v>
      </c>
      <c r="C18" s="58" t="str">
        <f ca="1">IFERROR(INDEX(Scoring!B5:B11,MATCH(LARGE(Scoring!G5:G11,4),Scoring!G5:G11,0)),"")</f>
        <v>Igiene Ambientale</v>
      </c>
      <c r="D18" s="53"/>
      <c r="E18" s="53"/>
      <c r="F18" s="53"/>
      <c r="G18" s="4">
        <f ca="1">IFERROR(LARGE(Scoring!G5:G11,4),"")</f>
        <v>1.8</v>
      </c>
    </row>
    <row r="19" spans="2:7" x14ac:dyDescent="0.25">
      <c r="B19" s="14" t="s">
        <v>63</v>
      </c>
      <c r="C19" s="58" t="str">
        <f ca="1">IFERROR(INDEX(Scoring!B5:B11,MATCH(LARGE(Scoring!G5:G11,5),Scoring!G5:G11,0)),"")</f>
        <v>Medicale</v>
      </c>
      <c r="D19" s="53"/>
      <c r="E19" s="53"/>
      <c r="F19" s="53"/>
      <c r="G19" s="4">
        <f ca="1">IFERROR(LARGE(Scoring!G5:G11,5),"")</f>
        <v>1.2</v>
      </c>
    </row>
    <row r="20" spans="2:7" x14ac:dyDescent="0.25">
      <c r="B20" s="14" t="s">
        <v>64</v>
      </c>
      <c r="C20" s="58" t="str">
        <f ca="1">IFERROR(INDEX(Scoring!B5:B11,MATCH(LARGE(Scoring!G5:G11,6),Scoring!G5:G11,0)),"")</f>
        <v>Gori</v>
      </c>
      <c r="D20" s="53"/>
      <c r="E20" s="53"/>
      <c r="F20" s="53"/>
      <c r="G20" s="4">
        <f ca="1">IFERROR(LARGE(Scoring!G5:G11,6),"")</f>
        <v>-0.2</v>
      </c>
    </row>
    <row r="21" spans="2:7" x14ac:dyDescent="0.25">
      <c r="B21" s="14" t="s">
        <v>65</v>
      </c>
      <c r="C21" s="58" t="str">
        <f ca="1">IFERROR(INDEX(Scoring!B5:B11,MATCH(LARGE(Scoring!G5:G11,7),Scoring!G5:G11,0)),"")</f>
        <v>ITS</v>
      </c>
      <c r="D21" s="53"/>
      <c r="E21" s="53"/>
      <c r="F21" s="53"/>
      <c r="G21" s="4">
        <f ca="1">IFERROR(LARGE(Scoring!G5:G11,7),"")</f>
        <v>-2.4</v>
      </c>
    </row>
    <row r="23" spans="2:7" x14ac:dyDescent="0.25">
      <c r="B23" s="60" t="s">
        <v>66</v>
      </c>
      <c r="C23" s="61"/>
      <c r="D23" s="61"/>
      <c r="E23" s="61"/>
      <c r="F23" s="61"/>
      <c r="G23" s="61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2026-06-25T07:42:42Z</dcterms:modified>
  <dc:language>en-US</dc:language>
</cp:coreProperties>
</file>