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28" documentId="11_3986FFDAA71613FBBF4E0ADF7712B152860938D4" xr6:coauthVersionLast="47" xr6:coauthVersionMax="47" xr10:uidLastSave="{55251A42-8746-4DC2-8F44-949912EAB2BD}"/>
  <bookViews>
    <workbookView xWindow="-120" yWindow="-120" windowWidth="29040" windowHeight="175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J10" i="2" s="1"/>
  <c r="F11" i="3" s="1"/>
  <c r="G10" i="2"/>
  <c r="E11" i="3" s="1"/>
  <c r="F10" i="2"/>
  <c r="D11" i="3" s="1"/>
  <c r="D10" i="2"/>
  <c r="C10" i="2"/>
  <c r="E10" i="2" s="1"/>
  <c r="C11" i="3" s="1"/>
  <c r="I9" i="2"/>
  <c r="H9" i="2"/>
  <c r="J9" i="2" s="1"/>
  <c r="F10" i="3" s="1"/>
  <c r="G9" i="2"/>
  <c r="F9" i="2"/>
  <c r="D9" i="2"/>
  <c r="C9" i="2"/>
  <c r="E9" i="2" s="1"/>
  <c r="C10" i="3" s="1"/>
  <c r="I8" i="2"/>
  <c r="H8" i="2"/>
  <c r="G8" i="2"/>
  <c r="E9" i="3" s="1"/>
  <c r="F8" i="2"/>
  <c r="D9" i="3" s="1"/>
  <c r="D8" i="2"/>
  <c r="C8" i="2"/>
  <c r="E8" i="2" s="1"/>
  <c r="C9" i="3" s="1"/>
  <c r="I7" i="2"/>
  <c r="H7" i="2"/>
  <c r="J7" i="2" s="1"/>
  <c r="F8" i="3" s="1"/>
  <c r="G7" i="2"/>
  <c r="F7" i="2"/>
  <c r="D7" i="2"/>
  <c r="C7" i="2"/>
  <c r="E7" i="2" s="1"/>
  <c r="C8" i="3" s="1"/>
  <c r="I6" i="2"/>
  <c r="H6" i="2"/>
  <c r="G6" i="2"/>
  <c r="E7" i="3" s="1"/>
  <c r="F6" i="2"/>
  <c r="D7" i="3" s="1"/>
  <c r="D6" i="2"/>
  <c r="C6" i="2"/>
  <c r="E6" i="2" s="1"/>
  <c r="C7" i="3" s="1"/>
  <c r="I5" i="2"/>
  <c r="H5" i="2"/>
  <c r="J5" i="2" s="1"/>
  <c r="F6" i="3" s="1"/>
  <c r="G5" i="2"/>
  <c r="F5" i="2"/>
  <c r="D5" i="2"/>
  <c r="C5" i="2"/>
  <c r="E5" i="2" s="1"/>
  <c r="C6" i="3" s="1"/>
  <c r="I4" i="2"/>
  <c r="H4" i="2"/>
  <c r="J4" i="2" s="1"/>
  <c r="F5" i="3" s="1"/>
  <c r="G4" i="2"/>
  <c r="E5" i="3" s="1"/>
  <c r="F4" i="2"/>
  <c r="D5" i="3" s="1"/>
  <c r="D4" i="2"/>
  <c r="C4" i="2"/>
  <c r="D2" i="2"/>
  <c r="D1" i="2"/>
  <c r="E10" i="3"/>
  <c r="J8" i="2"/>
  <c r="F9" i="3" s="1"/>
  <c r="J6" i="2"/>
  <c r="F7" i="3" s="1"/>
  <c r="E4" i="2"/>
  <c r="C5" i="3" s="1"/>
  <c r="C10" i="1"/>
  <c r="D10" i="3"/>
  <c r="B9" i="3"/>
  <c r="E8" i="3"/>
  <c r="D8" i="3"/>
  <c r="B8" i="3"/>
  <c r="B7" i="3"/>
  <c r="E6" i="3"/>
  <c r="D6" i="3"/>
  <c r="B6" i="3"/>
  <c r="B5" i="3"/>
  <c r="G10" i="3" l="1"/>
  <c r="G6" i="3"/>
  <c r="G8" i="3"/>
  <c r="G11" i="3"/>
  <c r="G5" i="3"/>
  <c r="G7" i="3"/>
  <c r="G9" i="3"/>
  <c r="C21" i="3" l="1"/>
  <c r="C19" i="3"/>
  <c r="C17" i="3"/>
  <c r="C15" i="3"/>
  <c r="G20" i="3"/>
  <c r="G18" i="3"/>
  <c r="G16" i="3"/>
  <c r="C20" i="3"/>
  <c r="C18" i="3"/>
  <c r="C16" i="3"/>
  <c r="G21" i="3"/>
  <c r="G19" i="3"/>
  <c r="G17" i="3"/>
  <c r="G15" i="3"/>
</calcChain>
</file>

<file path=xl/sharedStrings.xml><?xml version="1.0" encoding="utf-8"?>
<sst xmlns="http://schemas.openxmlformats.org/spreadsheetml/2006/main" count="127" uniqueCount="74">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</sst>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46265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0.77653810639820109</v>
          </cell>
          <cell r="G4">
            <v>0.64516129032258063</v>
          </cell>
          <cell r="H4">
            <v>2.433534075434582E-3</v>
          </cell>
          <cell r="I4">
            <v>232.07216445995408</v>
          </cell>
          <cell r="J4">
            <v>221.75168545691463</v>
          </cell>
        </row>
        <row r="5">
          <cell r="B5" t="str">
            <v>Editoria</v>
          </cell>
          <cell r="D5">
            <v>0.76087748780872522</v>
          </cell>
          <cell r="E5">
            <v>0.73773928058182925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296.03308561539245</v>
          </cell>
        </row>
        <row r="6">
          <cell r="B6" t="str">
            <v>Gori</v>
          </cell>
          <cell r="D6">
            <v>0.7887875467257508</v>
          </cell>
          <cell r="E6">
            <v>0.82377911259006886</v>
          </cell>
          <cell r="G6">
            <v>0.9715587079726018</v>
          </cell>
          <cell r="H6">
            <v>1.1558707972601834E-2</v>
          </cell>
          <cell r="I6">
            <v>218.70039150583702</v>
          </cell>
          <cell r="J6">
            <v>223.08971835522314</v>
          </cell>
        </row>
        <row r="7">
          <cell r="B7" t="str">
            <v>Idrico</v>
          </cell>
          <cell r="D7">
            <v>0.61747392211126917</v>
          </cell>
          <cell r="E7">
            <v>0.63385019465201109</v>
          </cell>
          <cell r="G7">
            <v>0.6071428571428571</v>
          </cell>
          <cell r="H7">
            <v>-2.8311081710491879E-2</v>
          </cell>
          <cell r="I7">
            <v>200.75789235670646</v>
          </cell>
          <cell r="J7">
            <v>197.94091469862531</v>
          </cell>
        </row>
        <row r="8">
          <cell r="B8" t="str">
            <v>Igiene Ambientale</v>
          </cell>
          <cell r="D8">
            <v>0.63270000000000004</v>
          </cell>
          <cell r="E8">
            <v>0.48732535537830229</v>
          </cell>
          <cell r="G8">
            <v>0.5</v>
          </cell>
          <cell r="H8">
            <v>-1.4655916862017738E-2</v>
          </cell>
          <cell r="I8">
            <v>146.53039613498757</v>
          </cell>
          <cell r="J8">
            <v>260.82296650717706</v>
          </cell>
        </row>
        <row r="9">
          <cell r="B9" t="str">
            <v>ITS</v>
          </cell>
          <cell r="D9">
            <v>0.67570553852501991</v>
          </cell>
          <cell r="E9">
            <v>0.60320515955610055</v>
          </cell>
          <cell r="G9">
            <v>0.75</v>
          </cell>
          <cell r="H9">
            <v>1.440078969061093E-2</v>
          </cell>
          <cell r="I9">
            <v>149.81253801090318</v>
          </cell>
          <cell r="J9">
            <v>136.98113905325442</v>
          </cell>
        </row>
        <row r="10">
          <cell r="B10" t="str">
            <v>Medicale</v>
          </cell>
          <cell r="D10">
            <v>0.650183652995457</v>
          </cell>
          <cell r="E10">
            <v>0.75699017684063397</v>
          </cell>
          <cell r="G10">
            <v>0.47368421052631576</v>
          </cell>
          <cell r="H10">
            <v>1.1930826810205707E-3</v>
          </cell>
          <cell r="I10">
            <v>184.92501485879896</v>
          </cell>
          <cell r="J10">
            <v>192.55856689888213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7" sqref="D17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46235</v>
      </c>
    </row>
    <row r="2" spans="2:10" x14ac:dyDescent="0.25">
      <c r="C2" s="47" t="s">
        <v>56</v>
      </c>
      <c r="D2" s="48">
        <f>'[1]Riepilogo mese per Commessa'!$D$1-1</f>
        <v>46264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0.77653810639820109</v>
      </c>
      <c r="E4" s="34">
        <f t="shared" ref="E4:E10" si="0">IF(C4=0,"",IF(D4="","",(D4-C4)))</f>
        <v>0.12660903127305856</v>
      </c>
      <c r="F4" s="35">
        <f>INDEX([1]dati_comparti!G:G,MATCH($B4,[1]dati_comparti!$B:$B,0))</f>
        <v>0.64516129032258063</v>
      </c>
      <c r="G4" s="36">
        <f>INDEX([1]dati_comparti!H:H,MATCH($B4,[1]dati_comparti!$B:$B,0))</f>
        <v>2.433534075434582E-3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221.75168545691463</v>
      </c>
      <c r="J4" s="34">
        <f t="shared" ref="J4:J10" si="1">IF(H4=0,"",IF(I4="","",(I4-H4)/H4))</f>
        <v>-4.4470990422551662E-2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0.73773928058182925</v>
      </c>
      <c r="E5" s="39">
        <f t="shared" si="0"/>
        <v>-2.3138207226895968E-2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296.03308561539245</v>
      </c>
      <c r="J5" s="39">
        <f t="shared" si="1"/>
        <v>0.18003483747204677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0.82377911259006886</v>
      </c>
      <c r="E6" s="34">
        <f t="shared" si="0"/>
        <v>3.4991565864318064E-2</v>
      </c>
      <c r="F6" s="35">
        <f>INDEX([1]dati_comparti!G:G,MATCH($B6,[1]dati_comparti!$B:$B,0))</f>
        <v>0.9715587079726018</v>
      </c>
      <c r="G6" s="36">
        <f>INDEX([1]dati_comparti!H:H,MATCH($B6,[1]dati_comparti!$B:$B,0))</f>
        <v>1.1558707972601834E-2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223.08971835522314</v>
      </c>
      <c r="J6" s="34">
        <f t="shared" si="1"/>
        <v>2.007004568745353E-2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0.63385019465201109</v>
      </c>
      <c r="E7" s="39">
        <f t="shared" si="0"/>
        <v>1.6376272540741921E-2</v>
      </c>
      <c r="F7" s="35">
        <f>INDEX([1]dati_comparti!G:G,MATCH($B7,[1]dati_comparti!$B:$B,0))</f>
        <v>0.6071428571428571</v>
      </c>
      <c r="G7" s="36">
        <f>INDEX([1]dati_comparti!H:H,MATCH($B7,[1]dati_comparti!$B:$B,0))</f>
        <v>-2.8311081710491879E-2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197.94091469862531</v>
      </c>
      <c r="J7" s="39">
        <f t="shared" si="1"/>
        <v>-1.4031715640229743E-2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0.48732535537830229</v>
      </c>
      <c r="E8" s="34">
        <f t="shared" si="0"/>
        <v>-0.14537464462169775</v>
      </c>
      <c r="F8" s="35">
        <f>INDEX([1]dati_comparti!G:G,MATCH($B8,[1]dati_comparti!$B:$B,0))</f>
        <v>0.5</v>
      </c>
      <c r="G8" s="36">
        <f>INDEX([1]dati_comparti!H:H,MATCH($B8,[1]dati_comparti!$B:$B,0))</f>
        <v>-1.4655916862017738E-2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260.82296650717706</v>
      </c>
      <c r="J8" s="34">
        <f t="shared" si="1"/>
        <v>0.77999222950916092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0.60320515955610055</v>
      </c>
      <c r="E9" s="39">
        <f t="shared" si="0"/>
        <v>-7.2500378968919366E-2</v>
      </c>
      <c r="F9" s="35">
        <f>INDEX([1]dati_comparti!G:G,MATCH($B9,[1]dati_comparti!$B:$B,0))</f>
        <v>0.75</v>
      </c>
      <c r="G9" s="36">
        <f>INDEX([1]dati_comparti!H:H,MATCH($B9,[1]dati_comparti!$B:$B,0))</f>
        <v>1.440078969061093E-2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136.98113905325442</v>
      </c>
      <c r="J9" s="39">
        <f t="shared" si="1"/>
        <v>-8.5649700138682019E-2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0.75699017684063397</v>
      </c>
      <c r="E10" s="34">
        <f t="shared" si="0"/>
        <v>0.10680652384517697</v>
      </c>
      <c r="F10" s="35">
        <f>INDEX([1]dati_comparti!G:G,MATCH($B10,[1]dati_comparti!$B:$B,0))</f>
        <v>0.47368421052631576</v>
      </c>
      <c r="G10" s="36">
        <f>INDEX([1]dati_comparti!H:H,MATCH($B10,[1]dati_comparti!$B:$B,0))</f>
        <v>1.1930826810205707E-3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192.55856689888213</v>
      </c>
      <c r="J10" s="34">
        <f t="shared" si="1"/>
        <v>4.1279174945108625E-2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L18" sqref="L18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4.5999999999999996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-5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1.8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4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5.4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2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1.4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-2.2000000000000002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10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>IF(OR(C11="",D11="",E11="",F11=""),"",ROUND(C11*Parametri!C6+D11*Parametri!C7+E11*Parametri!C8+F11*Parametri!C9,2))</f>
        <v>4.4000000000000004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Gori</v>
      </c>
      <c r="D15" s="56"/>
      <c r="E15" s="56"/>
      <c r="F15" s="56"/>
      <c r="G15" s="1">
        <f>IFERROR(LARGE(Scoring!G5:G11,1),"")</f>
        <v>5.4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Centro Servizi</v>
      </c>
      <c r="D16" s="56"/>
      <c r="E16" s="56"/>
      <c r="F16" s="56"/>
      <c r="G16" s="2">
        <f>IFERROR(LARGE(Scoring!G5:G11,2),"")</f>
        <v>4.5999999999999996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4.4000000000000004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Editoria</v>
      </c>
      <c r="D18" s="56"/>
      <c r="E18" s="56"/>
      <c r="F18" s="56"/>
      <c r="G18" s="4">
        <f>IFERROR(LARGE(Scoring!G5:G11,4),"")</f>
        <v>1.8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1.4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-2.2000000000000002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-4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C16" sqref="C16:G22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1" t="s">
        <v>73</v>
      </c>
      <c r="B22" s="51" t="s">
        <v>8</v>
      </c>
      <c r="C22" s="52">
        <v>10</v>
      </c>
      <c r="D22" s="52">
        <v>0</v>
      </c>
      <c r="E22" s="52">
        <v>0</v>
      </c>
      <c r="F22" s="52">
        <v>4</v>
      </c>
      <c r="G22" s="52">
        <v>4.4000000000000004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2026-09-07T09:02:26Z</dcterms:modified>
  <dc:language>en-US</dc:language>
</cp:coreProperties>
</file>