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soluzionimediacom-my.sharepoint.com/personal/silvio_magurno_soluzionimediacom_com/Documents/P&amp;C/Analisi Produttività/Challenge BU Inb/per pagina web/"/>
    </mc:Choice>
  </mc:AlternateContent>
  <xr:revisionPtr revIDLastSave="75" documentId="11_3986FFDAA71613FBBF4E0ADF7712B152860938D4" xr6:coauthVersionLast="47" xr6:coauthVersionMax="47" xr10:uidLastSave="{8C378229-FF99-4EB7-A99B-A217C6FB8A95}"/>
  <bookViews>
    <workbookView xWindow="-120" yWindow="-120" windowWidth="29040" windowHeight="15720" tabRatio="810" activeTab="2" xr2:uid="{00000000-000D-0000-FFFF-FFFF00000000}"/>
  </bookViews>
  <sheets>
    <sheet name="Parametri" sheetId="1" r:id="rId1"/>
    <sheet name="Dati Comparti" sheetId="2" r:id="rId2"/>
    <sheet name="Scoring" sheetId="3" r:id="rId3"/>
    <sheet name="Storico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2" l="1"/>
  <c r="C10" i="2"/>
  <c r="H9" i="2"/>
  <c r="C9" i="2"/>
  <c r="H8" i="2"/>
  <c r="C8" i="2"/>
  <c r="H7" i="2"/>
  <c r="C7" i="2"/>
  <c r="H6" i="2"/>
  <c r="C6" i="2"/>
  <c r="H5" i="2"/>
  <c r="C5" i="2"/>
  <c r="H4" i="2"/>
  <c r="C4" i="2"/>
  <c r="D1" i="2"/>
  <c r="C10" i="1" l="1"/>
  <c r="B9" i="3"/>
  <c r="B8" i="3"/>
  <c r="B7" i="3"/>
  <c r="B6" i="3"/>
  <c r="B5" i="3"/>
  <c r="F8" i="2" l="1"/>
  <c r="D9" i="3" s="1"/>
  <c r="F7" i="2"/>
  <c r="D8" i="3" s="1"/>
  <c r="F10" i="2"/>
  <c r="D11" i="3" s="1"/>
  <c r="G10" i="2"/>
  <c r="E11" i="3" s="1"/>
  <c r="G9" i="2"/>
  <c r="E10" i="3" s="1"/>
  <c r="F9" i="2"/>
  <c r="D10" i="3" s="1"/>
  <c r="G8" i="2"/>
  <c r="E9" i="3" s="1"/>
  <c r="G7" i="2"/>
  <c r="E8" i="3" s="1"/>
  <c r="G4" i="2"/>
  <c r="E5" i="3" s="1"/>
  <c r="F4" i="2" l="1"/>
  <c r="D5" i="3" s="1"/>
  <c r="G5" i="2" l="1"/>
  <c r="E6" i="3" s="1"/>
  <c r="F5" i="2" l="1"/>
  <c r="D6" i="3" s="1"/>
  <c r="D2" i="2" l="1"/>
  <c r="F6" i="2" l="1"/>
  <c r="D7" i="3" s="1"/>
  <c r="G6" i="2"/>
  <c r="E7" i="3" s="1"/>
  <c r="I6" i="2" l="1"/>
  <c r="J6" i="2" s="1"/>
  <c r="F7" i="3" s="1"/>
  <c r="D6" i="2" l="1"/>
  <c r="E6" i="2" s="1"/>
  <c r="C7" i="3" s="1"/>
  <c r="G7" i="3" s="1"/>
  <c r="I10" i="2" l="1"/>
  <c r="J10" i="2" s="1"/>
  <c r="F11" i="3" s="1"/>
  <c r="I7" i="2"/>
  <c r="J7" i="2" s="1"/>
  <c r="F8" i="3" s="1"/>
  <c r="I5" i="2"/>
  <c r="J5" i="2" s="1"/>
  <c r="F6" i="3" s="1"/>
  <c r="I8" i="2"/>
  <c r="J8" i="2" s="1"/>
  <c r="F9" i="3" s="1"/>
  <c r="I4" i="2"/>
  <c r="J4" i="2" s="1"/>
  <c r="F5" i="3" s="1"/>
  <c r="I9" i="2"/>
  <c r="J9" i="2" s="1"/>
  <c r="F10" i="3" s="1"/>
  <c r="D5" i="2" l="1"/>
  <c r="E5" i="2" s="1"/>
  <c r="C6" i="3" s="1"/>
  <c r="G6" i="3" s="1"/>
  <c r="D9" i="2" l="1"/>
  <c r="E9" i="2" s="1"/>
  <c r="C10" i="3" s="1"/>
  <c r="G10" i="3" s="1"/>
  <c r="D10" i="2" l="1"/>
  <c r="E10" i="2" s="1"/>
  <c r="C11" i="3" s="1"/>
  <c r="G11" i="3" s="1"/>
  <c r="D8" i="2" l="1"/>
  <c r="E8" i="2" s="1"/>
  <c r="C9" i="3" s="1"/>
  <c r="G9" i="3" s="1"/>
  <c r="D7" i="2"/>
  <c r="E7" i="2" s="1"/>
  <c r="C8" i="3" s="1"/>
  <c r="G8" i="3" s="1"/>
  <c r="D4" i="2" l="1"/>
  <c r="E4" i="2" s="1"/>
  <c r="C5" i="3" s="1"/>
  <c r="G5" i="3" s="1"/>
  <c r="C19" i="3" l="1"/>
  <c r="G21" i="3"/>
  <c r="G19" i="3"/>
  <c r="C20" i="3"/>
  <c r="C17" i="3"/>
  <c r="C21" i="3"/>
  <c r="G15" i="3"/>
  <c r="C18" i="3"/>
  <c r="G16" i="3"/>
  <c r="G20" i="3"/>
  <c r="G17" i="3"/>
  <c r="G18" i="3"/>
  <c r="C15" i="3"/>
  <c r="C16" i="3"/>
</calcChain>
</file>

<file path=xl/sharedStrings.xml><?xml version="1.0" encoding="utf-8"?>
<sst xmlns="http://schemas.openxmlformats.org/spreadsheetml/2006/main" count="155" uniqueCount="76">
  <si>
    <t>🏆  SCORING COMPARTI</t>
  </si>
  <si>
    <t>COMPARTO</t>
  </si>
  <si>
    <t>Punteggio
Produttività</t>
  </si>
  <si>
    <t>Punteggio
IUQ</t>
  </si>
  <si>
    <t>Punteggio
LDS</t>
  </si>
  <si>
    <t>Punteggio
TMG</t>
  </si>
  <si>
    <t>SCORE
COMPOSITO</t>
  </si>
  <si>
    <t>ITS</t>
  </si>
  <si>
    <t>Medicale</t>
  </si>
  <si>
    <t>🥇  CLASSIFICA FINALE</t>
  </si>
  <si>
    <t>Posizione</t>
  </si>
  <si>
    <t>Comparto</t>
  </si>
  <si>
    <t>Score Composito</t>
  </si>
  <si>
    <t>🥇</t>
  </si>
  <si>
    <t>🥈</t>
  </si>
  <si>
    <t>🥉</t>
  </si>
  <si>
    <t>4°</t>
  </si>
  <si>
    <t>5°</t>
  </si>
  <si>
    <t>6°</t>
  </si>
  <si>
    <t>7°</t>
  </si>
  <si>
    <t>Formula: Score = Prod×40% + IUQ×30% + LDS×20% + TMG×10%   |   Pesi e fasce modificabili nel foglio Parametri</t>
  </si>
  <si>
    <t>PARAMETRI DEL SISTEMA DI SCORING</t>
  </si>
  <si>
    <t>PESI KPI (modificabili)</t>
  </si>
  <si>
    <t>KPI</t>
  </si>
  <si>
    <t>Peso %</t>
  </si>
  <si>
    <t>Note</t>
  </si>
  <si>
    <t>Produttività</t>
  </si>
  <si>
    <t>Indicatore prioritario — può essere negativo</t>
  </si>
  <si>
    <t>IUQ</t>
  </si>
  <si>
    <t>Qualità SLA — scala assoluta</t>
  </si>
  <si>
    <t>LDS</t>
  </si>
  <si>
    <t>Livello di Servizio — scostamento vs SLA</t>
  </si>
  <si>
    <t>TMG</t>
  </si>
  <si>
    <t>Tempo Medio Gestione — scala invertita</t>
  </si>
  <si>
    <t>TOTALE</t>
  </si>
  <si>
    <t>⚠️ Deve essere = 100%</t>
  </si>
  <si>
    <t>FASCE PRODUTTIVITÀ — Scostamento % vs target (punteggio con segno)</t>
  </si>
  <si>
    <t>Scostamento % (Da)</t>
  </si>
  <si>
    <t>Scostamento % (A)</t>
  </si>
  <si>
    <t>Punteggio</t>
  </si>
  <si>
    <t>≥ +8%</t>
  </si>
  <si>
    <t>≤ -4%</t>
  </si>
  <si>
    <t>FASCE IUQ — % SLA in target (scala assoluta)</t>
  </si>
  <si>
    <t>% SLA in target (Da)</t>
  </si>
  <si>
    <t>% SLA in target (A)</t>
  </si>
  <si>
    <t>≥ 95%</t>
  </si>
  <si>
    <t>&lt; 70%</t>
  </si>
  <si>
    <t>FASCE LDS — Scostamento medio vs SLA (↑ più alto = meglio)</t>
  </si>
  <si>
    <t>Scostamento (Da)</t>
  </si>
  <si>
    <t>Scostamento (A)</t>
  </si>
  <si>
    <t>&gt; 12%</t>
  </si>
  <si>
    <t>≤ 1%</t>
  </si>
  <si>
    <t>FASCE TMG — Scostamento % vs target (↓ meglio)</t>
  </si>
  <si>
    <t>≤ -10%</t>
  </si>
  <si>
    <t>≥ +10%</t>
  </si>
  <si>
    <t>Mese</t>
  </si>
  <si>
    <t>Dati al</t>
  </si>
  <si>
    <t>Produttività
Target</t>
  </si>
  <si>
    <t>Produttività
Reale</t>
  </si>
  <si>
    <t>Produttività
Scost %</t>
  </si>
  <si>
    <t>IUQ
% SLA in target</t>
  </si>
  <si>
    <t>LDS
Scost. medio %</t>
  </si>
  <si>
    <t>TMG Target
(secondi)</t>
  </si>
  <si>
    <t>TMG Reale
(secondi)</t>
  </si>
  <si>
    <t>TMG
Scost %</t>
  </si>
  <si>
    <t>Centro Servizi</t>
  </si>
  <si>
    <t>Editoria</t>
  </si>
  <si>
    <t>Gori</t>
  </si>
  <si>
    <t>Idrico</t>
  </si>
  <si>
    <t>Igiene Ambientale</t>
  </si>
  <si>
    <t>Score</t>
  </si>
  <si>
    <t>2026-06</t>
  </si>
  <si>
    <t>2026-07</t>
  </si>
  <si>
    <t>2026-08</t>
  </si>
  <si>
    <t>2026-09</t>
  </si>
  <si>
    <t>2026-10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</si>
</sst>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mmmm\ yyyy"/>
  </numFmts>
  <fonts count="20" x14ac:knownFonts="1">
    <font>
      <sz val="11"/>
      <color theme="1"/>
      <name val="Calibri"/>
      <family val="2"/>
      <charset val="1"/>
    </font>
    <font>
      <sz val="11"/>
      <color theme="1"/>
      <name val="Aptos Narrow"/>
      <family val="2"/>
    </font>
    <font>
      <b/>
      <sz val="14"/>
      <color rgb="FFFFFFFF"/>
      <name val="Aptos Narrow"/>
      <family val="2"/>
    </font>
    <font>
      <b/>
      <sz val="11"/>
      <color rgb="FF1A7A4A"/>
      <name val="Aptos Narrow"/>
      <family val="2"/>
    </font>
    <font>
      <sz val="10"/>
      <color rgb="FF1E2761"/>
      <name val="Aptos Narrow"/>
      <family val="2"/>
    </font>
    <font>
      <sz val="11"/>
      <color rgb="FF1E2761"/>
      <name val="Aptos Narrow"/>
      <family val="2"/>
    </font>
    <font>
      <b/>
      <sz val="11"/>
      <color rgb="FFFFFFFF"/>
      <name val="Aptos Narrow"/>
      <family val="2"/>
    </font>
    <font>
      <b/>
      <sz val="11"/>
      <color rgb="FF1A5276"/>
      <name val="Aptos Narrow"/>
      <family val="2"/>
    </font>
    <font>
      <b/>
      <sz val="11"/>
      <color rgb="FF145A32"/>
      <name val="Aptos Narrow"/>
      <family val="2"/>
    </font>
    <font>
      <b/>
      <sz val="11"/>
      <color rgb="FF784212"/>
      <name val="Aptos Narrow"/>
      <family val="2"/>
    </font>
    <font>
      <b/>
      <sz val="11"/>
      <color rgb="FF512E5F"/>
      <name val="Aptos Narrow"/>
      <family val="2"/>
    </font>
    <font>
      <b/>
      <sz val="11"/>
      <color rgb="FFC0392B"/>
      <name val="Aptos Narrow"/>
      <family val="2"/>
    </font>
    <font>
      <b/>
      <sz val="11"/>
      <color rgb="FFE67E22"/>
      <name val="Aptos Narrow"/>
      <family val="2"/>
    </font>
    <font>
      <b/>
      <sz val="11"/>
      <color rgb="FF1E2761"/>
      <name val="Aptos Narrow"/>
      <family val="2"/>
    </font>
    <font>
      <i/>
      <sz val="11"/>
      <color rgb="FF555555"/>
      <name val="Aptos Narrow"/>
      <family val="2"/>
    </font>
    <font>
      <i/>
      <sz val="11"/>
      <color rgb="FFE67E22"/>
      <name val="Aptos Narrow"/>
      <family val="2"/>
    </font>
    <font>
      <sz val="11"/>
      <color rgb="FF2E5FA3"/>
      <name val="Aptos Narrow"/>
      <family val="2"/>
    </font>
    <font>
      <b/>
      <sz val="11"/>
      <color theme="1"/>
      <name val="Aptos Narrow"/>
      <family val="2"/>
    </font>
    <font>
      <b/>
      <sz val="11"/>
      <color rgb="FFFFFFFF"/>
      <name val="Arial"/>
      <family val="2"/>
    </font>
    <font>
      <sz val="1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1E2761"/>
        <bgColor rgb="FF512E5F"/>
      </patternFill>
    </fill>
    <fill>
      <patternFill patternType="solid">
        <fgColor rgb="FF2E5FA3"/>
        <bgColor rgb="FF1A5276"/>
      </patternFill>
    </fill>
    <fill>
      <patternFill patternType="solid">
        <fgColor rgb="FFF2F4F6"/>
        <bgColor rgb="FFFFF3E0"/>
      </patternFill>
    </fill>
    <fill>
      <patternFill patternType="solid">
        <fgColor rgb="FF1A5276"/>
        <bgColor rgb="FF2E5FA3"/>
      </patternFill>
    </fill>
    <fill>
      <patternFill patternType="solid">
        <fgColor rgb="FFFFFFFF"/>
        <bgColor rgb="FFF2F4F6"/>
      </patternFill>
    </fill>
    <fill>
      <patternFill patternType="solid">
        <fgColor rgb="FF145A32"/>
        <bgColor rgb="FF1A5276"/>
      </patternFill>
    </fill>
    <fill>
      <patternFill patternType="solid">
        <fgColor rgb="FF784212"/>
        <bgColor rgb="FF555555"/>
      </patternFill>
    </fill>
    <fill>
      <patternFill patternType="solid">
        <fgColor rgb="FF512E5F"/>
        <bgColor rgb="FF1E2761"/>
      </patternFill>
    </fill>
    <fill>
      <patternFill patternType="solid">
        <fgColor rgb="FFFEF9C3"/>
        <bgColor rgb="FFFFF3E0"/>
      </patternFill>
    </fill>
    <fill>
      <patternFill patternType="solid">
        <fgColor rgb="FFD5F0E3"/>
        <bgColor rgb="FFD6E4F0"/>
      </patternFill>
    </fill>
    <fill>
      <patternFill patternType="solid">
        <fgColor rgb="FFFADBD8"/>
        <bgColor rgb="FFF3E5F5"/>
      </patternFill>
    </fill>
    <fill>
      <patternFill patternType="solid">
        <fgColor rgb="FFD6E4F0"/>
        <bgColor rgb="FFE0E0E0"/>
      </patternFill>
    </fill>
    <fill>
      <patternFill patternType="solid">
        <fgColor rgb="FFFFF3E0"/>
        <bgColor rgb="FFF2F4F6"/>
      </patternFill>
    </fill>
    <fill>
      <patternFill patternType="solid">
        <fgColor rgb="FFF3E5F5"/>
        <bgColor rgb="FFF2F4F6"/>
      </patternFill>
    </fill>
    <fill>
      <patternFill patternType="solid">
        <fgColor rgb="FFE67E22"/>
        <bgColor rgb="FFFF9900"/>
      </patternFill>
    </fill>
    <fill>
      <patternFill patternType="solid">
        <fgColor rgb="FFFFF176"/>
        <bgColor rgb="FFFEF9C3"/>
      </patternFill>
    </fill>
    <fill>
      <patternFill patternType="solid">
        <fgColor rgb="FFE0E0E0"/>
        <bgColor rgb="FFD6E4F0"/>
      </patternFill>
    </fill>
    <fill>
      <patternFill patternType="solid">
        <fgColor rgb="FFFFCCBC"/>
        <bgColor rgb="FFFADBD8"/>
      </patternFill>
    </fill>
    <fill>
      <patternFill patternType="solid">
        <fgColor rgb="FF507E22"/>
      </patternFill>
    </fill>
  </fills>
  <borders count="9">
    <border>
      <left/>
      <right/>
      <top/>
      <bottom/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medium">
        <color rgb="FF1E2761"/>
      </left>
      <right style="medium">
        <color rgb="FF1E2761"/>
      </right>
      <top style="medium">
        <color rgb="FF1E2761"/>
      </top>
      <bottom style="medium">
        <color rgb="FF1E2761"/>
      </bottom>
      <diagonal/>
    </border>
    <border>
      <left/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/>
      <bottom style="thin">
        <color rgb="FFDDE6CC"/>
      </bottom>
      <diagonal/>
    </border>
    <border>
      <left/>
      <right/>
      <top/>
      <bottom style="thin">
        <color rgb="FFEEF3E3"/>
      </bottom>
      <diagonal/>
    </border>
    <border>
      <left/>
      <right/>
      <top style="thin">
        <color rgb="FFEEF3E3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2" fontId="3" fillId="17" borderId="2" xfId="0" applyNumberFormat="1" applyFont="1" applyFill="1" applyBorder="1" applyAlignment="1">
      <alignment horizontal="center" vertical="center"/>
    </xf>
    <xf numFmtId="2" fontId="5" fillId="18" borderId="2" xfId="0" applyNumberFormat="1" applyFont="1" applyFill="1" applyBorder="1" applyAlignment="1">
      <alignment horizontal="center" vertical="center"/>
    </xf>
    <xf numFmtId="2" fontId="5" fillId="19" borderId="2" xfId="0" applyNumberFormat="1" applyFont="1" applyFill="1" applyBorder="1" applyAlignment="1">
      <alignment horizontal="center" vertical="center"/>
    </xf>
    <xf numFmtId="2" fontId="5" fillId="4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9" fontId="7" fillId="6" borderId="2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9" fontId="9" fillId="6" borderId="2" xfId="0" applyNumberFormat="1" applyFont="1" applyFill="1" applyBorder="1" applyAlignment="1">
      <alignment horizontal="center" vertical="center"/>
    </xf>
    <xf numFmtId="9" fontId="10" fillId="6" borderId="2" xfId="0" applyNumberFormat="1" applyFont="1" applyFill="1" applyBorder="1" applyAlignment="1">
      <alignment horizontal="center" vertical="center"/>
    </xf>
    <xf numFmtId="9" fontId="3" fillId="4" borderId="2" xfId="0" applyNumberFormat="1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left" vertical="center"/>
    </xf>
    <xf numFmtId="49" fontId="5" fillId="11" borderId="2" xfId="0" applyNumberFormat="1" applyFont="1" applyFill="1" applyBorder="1" applyAlignment="1">
      <alignment horizontal="center" vertical="center"/>
    </xf>
    <xf numFmtId="164" fontId="5" fillId="11" borderId="2" xfId="0" applyNumberFormat="1" applyFont="1" applyFill="1" applyBorder="1" applyAlignment="1">
      <alignment horizontal="center" vertical="center"/>
    </xf>
    <xf numFmtId="10" fontId="5" fillId="11" borderId="2" xfId="0" applyNumberFormat="1" applyFont="1" applyFill="1" applyBorder="1" applyAlignment="1">
      <alignment horizontal="center" vertical="center"/>
    </xf>
    <xf numFmtId="10" fontId="5" fillId="12" borderId="2" xfId="0" applyNumberFormat="1" applyFont="1" applyFill="1" applyBorder="1" applyAlignment="1">
      <alignment horizontal="center" vertical="center"/>
    </xf>
    <xf numFmtId="10" fontId="5" fillId="10" borderId="2" xfId="0" applyNumberFormat="1" applyFont="1" applyFill="1" applyBorder="1" applyAlignment="1">
      <alignment horizontal="center" vertical="center"/>
    </xf>
    <xf numFmtId="164" fontId="5" fillId="12" borderId="2" xfId="0" applyNumberFormat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left" vertical="center"/>
    </xf>
    <xf numFmtId="10" fontId="16" fillId="13" borderId="2" xfId="0" applyNumberFormat="1" applyFont="1" applyFill="1" applyBorder="1" applyAlignment="1">
      <alignment horizontal="center" vertical="center"/>
    </xf>
    <xf numFmtId="164" fontId="13" fillId="6" borderId="2" xfId="0" applyNumberFormat="1" applyFont="1" applyFill="1" applyBorder="1" applyAlignment="1">
      <alignment horizontal="center" vertical="center"/>
    </xf>
    <xf numFmtId="164" fontId="16" fillId="11" borderId="2" xfId="0" applyNumberFormat="1" applyFont="1" applyFill="1" applyBorder="1" applyAlignment="1">
      <alignment horizontal="center" vertical="center"/>
    </xf>
    <xf numFmtId="164" fontId="16" fillId="14" borderId="2" xfId="0" applyNumberFormat="1" applyFont="1" applyFill="1" applyBorder="1" applyAlignment="1">
      <alignment horizontal="center" vertical="center"/>
    </xf>
    <xf numFmtId="165" fontId="16" fillId="15" borderId="2" xfId="0" applyNumberFormat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left" vertical="center"/>
    </xf>
    <xf numFmtId="164" fontId="13" fillId="4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165" fontId="13" fillId="6" borderId="2" xfId="0" applyNumberFormat="1" applyFont="1" applyFill="1" applyBorder="1" applyAlignment="1">
      <alignment horizontal="center" vertical="center"/>
    </xf>
    <xf numFmtId="2" fontId="6" fillId="2" borderId="3" xfId="0" applyNumberFormat="1" applyFont="1" applyFill="1" applyBorder="1" applyAlignment="1">
      <alignment horizontal="center" vertical="center"/>
    </xf>
    <xf numFmtId="165" fontId="13" fillId="4" borderId="2" xfId="0" applyNumberFormat="1" applyFont="1" applyFill="1" applyBorder="1" applyAlignment="1">
      <alignment horizontal="center" vertical="center"/>
    </xf>
    <xf numFmtId="0" fontId="13" fillId="17" borderId="2" xfId="0" applyFont="1" applyFill="1" applyBorder="1" applyAlignment="1">
      <alignment horizontal="center" vertical="center"/>
    </xf>
    <xf numFmtId="0" fontId="13" fillId="18" borderId="2" xfId="0" applyFont="1" applyFill="1" applyBorder="1" applyAlignment="1">
      <alignment horizontal="center" vertical="center"/>
    </xf>
    <xf numFmtId="0" fontId="13" fillId="19" borderId="2" xfId="0" applyFont="1" applyFill="1" applyBorder="1" applyAlignment="1">
      <alignment horizontal="center" vertical="center"/>
    </xf>
    <xf numFmtId="0" fontId="17" fillId="0" borderId="0" xfId="0" applyFont="1" applyAlignment="1">
      <alignment horizontal="right" vertical="center"/>
    </xf>
    <xf numFmtId="14" fontId="17" fillId="0" borderId="0" xfId="0" applyNumberFormat="1" applyFont="1" applyAlignment="1">
      <alignment horizontal="center" vertical="center"/>
    </xf>
    <xf numFmtId="166" fontId="17" fillId="0" borderId="0" xfId="0" applyNumberFormat="1" applyFont="1" applyAlignment="1">
      <alignment horizontal="center" vertical="center"/>
    </xf>
    <xf numFmtId="0" fontId="18" fillId="20" borderId="6" xfId="0" applyFont="1" applyFill="1" applyBorder="1" applyAlignment="1">
      <alignment horizontal="center" vertical="center"/>
    </xf>
    <xf numFmtId="0" fontId="19" fillId="0" borderId="7" xfId="0" applyFont="1" applyBorder="1"/>
    <xf numFmtId="0" fontId="19" fillId="0" borderId="7" xfId="0" applyFont="1" applyBorder="1" applyAlignment="1">
      <alignment horizontal="center"/>
    </xf>
    <xf numFmtId="0" fontId="19" fillId="0" borderId="8" xfId="0" applyFont="1" applyBorder="1"/>
    <xf numFmtId="0" fontId="19" fillId="0" borderId="8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4" xfId="0" applyBorder="1"/>
    <xf numFmtId="0" fontId="5" fillId="4" borderId="1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left" vertical="center"/>
    </xf>
    <xf numFmtId="0" fontId="13" fillId="17" borderId="1" xfId="0" applyFont="1" applyFill="1" applyBorder="1" applyAlignment="1">
      <alignment horizontal="left" vertical="center"/>
    </xf>
    <xf numFmtId="0" fontId="6" fillId="16" borderId="1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0" fillId="0" borderId="5" xfId="0" applyBorder="1"/>
    <xf numFmtId="0" fontId="6" fillId="7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800000"/>
      <rgbColor rgb="FF145A32"/>
      <rgbColor rgb="FF000080"/>
      <rgbColor rgb="FF808000"/>
      <rgbColor rgb="FF800080"/>
      <rgbColor rgb="FF1A7A4A"/>
      <rgbColor rgb="FFBDC3C7"/>
      <rgbColor rgb="FF808080"/>
      <rgbColor rgb="FF9999FF"/>
      <rgbColor rgb="FFC0392B"/>
      <rgbColor rgb="FFFEF9C3"/>
      <rgbColor rgb="FFF2F4F6"/>
      <rgbColor rgb="FF660066"/>
      <rgbColor rgb="FFFF8080"/>
      <rgbColor rgb="FF2E5FA3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0E0"/>
      <rgbColor rgb="FFD5F0E3"/>
      <rgbColor rgb="FFFFF176"/>
      <rgbColor rgb="FFF3E5F5"/>
      <rgbColor rgb="FFFADBD8"/>
      <rgbColor rgb="FFCC99FF"/>
      <rgbColor rgb="FFFFCCBC"/>
      <rgbColor rgb="FF3366FF"/>
      <rgbColor rgb="FF33CCCC"/>
      <rgbColor rgb="FF99CC00"/>
      <rgbColor rgb="FFFFCC00"/>
      <rgbColor rgb="FFFF9900"/>
      <rgbColor rgb="FFE67E22"/>
      <rgbColor rgb="FF555555"/>
      <rgbColor rgb="FF969696"/>
      <rgbColor rgb="FF1E2761"/>
      <rgbColor rgb="FF339966"/>
      <rgbColor rgb="FF003300"/>
      <rgbColor rgb="FF333300"/>
      <rgbColor rgb="FF784212"/>
      <rgbColor rgb="FF993366"/>
      <rgbColor rgb="FF1A5276"/>
      <rgbColor rgb="FF512E5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!%20Planning%20&amp;%20Control%20!\Analisi%20produttivit&#224;\Base%20dati\1.%20Chiamate%20inbound\2026\10_Calcolo%20produttivit&#224;%20inbound%20ottobre%202026.xlsx" TargetMode="External"/><Relationship Id="rId1" Type="http://schemas.openxmlformats.org/officeDocument/2006/relationships/externalLinkPath" Target="file:///P:\!%20Planning%20&amp;%20Control%20!\Analisi%20produttivit&#224;\Base%20dati\1.%20Chiamate%20inbound\2026\10_Calcolo%20produttivit&#224;%20inbound%20ottobre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b iniziale"/>
      <sheetName val="Code_Commesse"/>
      <sheetName val="Commesse"/>
      <sheetName val="EXT- gestito daily"/>
      <sheetName val="EXT - ore da Capacità"/>
      <sheetName val="EXT - dettaglio ore daily"/>
      <sheetName val="conteggio attività BO"/>
      <sheetName val="export TS per ore BO"/>
      <sheetName val="BO non tracciato daily"/>
      <sheetName val="export TS per ore lavorate"/>
      <sheetName val="Stati barra MED"/>
      <sheetName val="Stati barra CS"/>
      <sheetName val="export chiamate GORI"/>
      <sheetName val="GORI"/>
      <sheetName val="QUERY - Mese corrente"/>
      <sheetName val="Riepilogo mese per Commessa"/>
      <sheetName val="Riepilogo old"/>
      <sheetName val="Riepilogo mese per Comparto"/>
      <sheetName val="daily per Commessa - Genesys"/>
      <sheetName val="daily per Commessa - no Genesys"/>
      <sheetName val="daily per Comparto"/>
      <sheetName val="Challenge 2026"/>
      <sheetName val="Challenge daily"/>
      <sheetName val="dati_comparti"/>
    </sheetNames>
    <sheetDataSet>
      <sheetData sheetId="0">
        <row r="1">
          <cell r="B1">
            <v>46296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D1">
            <v>46321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>
        <row r="2">
          <cell r="B2" t="str">
            <v>CHIAVE</v>
          </cell>
          <cell r="D2" t="str">
            <v>PRODUTTIVITÀ</v>
          </cell>
          <cell r="E2"/>
          <cell r="G2" t="str">
            <v>IUQ</v>
          </cell>
          <cell r="H2" t="str">
            <v>LDS</v>
          </cell>
          <cell r="I2" t="str">
            <v>TMG</v>
          </cell>
          <cell r="J2"/>
        </row>
        <row r="3">
          <cell r="B3" t="str">
            <v>Comparto</v>
          </cell>
          <cell r="D3" t="str">
            <v>Target</v>
          </cell>
          <cell r="E3" t="str">
            <v>Actual</v>
          </cell>
          <cell r="G3" t="str">
            <v>IUQ</v>
          </cell>
          <cell r="H3" t="str">
            <v>LDS</v>
          </cell>
          <cell r="I3" t="str">
            <v>Target</v>
          </cell>
          <cell r="J3" t="str">
            <v>Actual</v>
          </cell>
        </row>
        <row r="4">
          <cell r="B4" t="str">
            <v>Centro Servizi</v>
          </cell>
          <cell r="D4">
            <v>0.64992907512514253</v>
          </cell>
          <cell r="E4">
            <v>0.63987653305353032</v>
          </cell>
          <cell r="G4">
            <v>0.61290322580645162</v>
          </cell>
          <cell r="H4">
            <v>1.9894566008145619E-2</v>
          </cell>
          <cell r="I4">
            <v>232.07216445995408</v>
          </cell>
          <cell r="J4">
            <v>238.55829538620156</v>
          </cell>
        </row>
        <row r="5">
          <cell r="B5" t="str">
            <v>Editoria</v>
          </cell>
          <cell r="D5">
            <v>0.76087748780872522</v>
          </cell>
          <cell r="E5">
            <v>0.82250446067332583</v>
          </cell>
          <cell r="G5">
            <v>1</v>
          </cell>
          <cell r="H5">
            <v>3.6466512892546557E-2</v>
          </cell>
          <cell r="I5">
            <v>250.86808983502152</v>
          </cell>
          <cell r="J5">
            <v>262.9674889259154</v>
          </cell>
        </row>
        <row r="6">
          <cell r="B6" t="str">
            <v>Gori</v>
          </cell>
          <cell r="D6">
            <v>0.7887875467257508</v>
          </cell>
          <cell r="E6">
            <v>0.8323751748345628</v>
          </cell>
          <cell r="G6">
            <v>0.9645744826641085</v>
          </cell>
          <cell r="H6">
            <v>4.5744826641085368E-3</v>
          </cell>
          <cell r="I6">
            <v>218.70039150583702</v>
          </cell>
          <cell r="J6">
            <v>230.70188960716061</v>
          </cell>
        </row>
        <row r="7">
          <cell r="B7" t="str">
            <v>Idrico</v>
          </cell>
          <cell r="D7">
            <v>0.61747392211126917</v>
          </cell>
          <cell r="E7">
            <v>0.56970181859238656</v>
          </cell>
          <cell r="G7">
            <v>0.8392857142857143</v>
          </cell>
          <cell r="H7">
            <v>4.0759355932015129E-2</v>
          </cell>
          <cell r="I7">
            <v>200.75789235670646</v>
          </cell>
          <cell r="J7">
            <v>198.11584956346542</v>
          </cell>
        </row>
        <row r="8">
          <cell r="B8" t="str">
            <v>Igiene Ambientale</v>
          </cell>
          <cell r="D8">
            <v>0.63270000000000004</v>
          </cell>
          <cell r="E8">
            <v>0.32377269384964658</v>
          </cell>
          <cell r="G8">
            <v>0.94117647058823528</v>
          </cell>
          <cell r="H8">
            <v>4.3574116087821926E-2</v>
          </cell>
          <cell r="I8">
            <v>146.53039613498757</v>
          </cell>
          <cell r="J8">
            <v>202.23721590909091</v>
          </cell>
        </row>
        <row r="9">
          <cell r="B9" t="str">
            <v>ITS</v>
          </cell>
          <cell r="D9">
            <v>0.67570553852501991</v>
          </cell>
          <cell r="E9">
            <v>0.56454651791424171</v>
          </cell>
          <cell r="G9">
            <v>0.75</v>
          </cell>
          <cell r="H9">
            <v>4.5052347661172623E-2</v>
          </cell>
          <cell r="I9">
            <v>149.81253801090318</v>
          </cell>
          <cell r="J9">
            <v>168.92666270783849</v>
          </cell>
        </row>
        <row r="10">
          <cell r="B10" t="str">
            <v>Medicale</v>
          </cell>
          <cell r="D10">
            <v>0.650183652995457</v>
          </cell>
          <cell r="E10">
            <v>0.67060738338935111</v>
          </cell>
          <cell r="G10">
            <v>0.68421052631578949</v>
          </cell>
          <cell r="H10">
            <v>1.9596616974785607E-2</v>
          </cell>
          <cell r="I10">
            <v>184.92501485879896</v>
          </cell>
          <cell r="J10">
            <v>189.306345041257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48"/>
  <sheetViews>
    <sheetView showGridLines="0" zoomScale="115" zoomScaleNormal="115" workbookViewId="0">
      <selection activeCell="J20" sqref="J20"/>
    </sheetView>
  </sheetViews>
  <sheetFormatPr defaultColWidth="8.7109375" defaultRowHeight="15" x14ac:dyDescent="0.25"/>
  <cols>
    <col min="1" max="1" width="2" style="5" customWidth="1"/>
    <col min="2" max="2" width="19.42578125" style="5" bestFit="1" customWidth="1"/>
    <col min="3" max="3" width="18.140625" style="5" bestFit="1" customWidth="1"/>
    <col min="4" max="4" width="40.140625" style="5" bestFit="1" customWidth="1"/>
    <col min="5" max="5" width="2" style="5" customWidth="1"/>
    <col min="6" max="6" width="8.7109375" style="5" customWidth="1"/>
    <col min="7" max="16384" width="8.7109375" style="5"/>
  </cols>
  <sheetData>
    <row r="1" spans="2:4" ht="6" customHeight="1" x14ac:dyDescent="0.25"/>
    <row r="2" spans="2:4" ht="18.75" customHeight="1" x14ac:dyDescent="0.25">
      <c r="B2" s="55" t="s">
        <v>21</v>
      </c>
      <c r="C2" s="56"/>
      <c r="D2" s="56"/>
    </row>
    <row r="3" spans="2:4" ht="6" customHeight="1" x14ac:dyDescent="0.25"/>
    <row r="4" spans="2:4" x14ac:dyDescent="0.25">
      <c r="B4" s="68" t="s">
        <v>22</v>
      </c>
      <c r="C4" s="56"/>
      <c r="D4" s="56"/>
    </row>
    <row r="5" spans="2:4" x14ac:dyDescent="0.25">
      <c r="B5" s="14" t="s">
        <v>23</v>
      </c>
      <c r="C5" s="14" t="s">
        <v>24</v>
      </c>
      <c r="D5" s="14" t="s">
        <v>25</v>
      </c>
    </row>
    <row r="6" spans="2:4" x14ac:dyDescent="0.25">
      <c r="B6" s="15" t="s">
        <v>26</v>
      </c>
      <c r="C6" s="6">
        <v>0.4</v>
      </c>
      <c r="D6" s="16" t="s">
        <v>27</v>
      </c>
    </row>
    <row r="7" spans="2:4" x14ac:dyDescent="0.25">
      <c r="B7" s="17" t="s">
        <v>28</v>
      </c>
      <c r="C7" s="7">
        <v>0.3</v>
      </c>
      <c r="D7" s="16" t="s">
        <v>29</v>
      </c>
    </row>
    <row r="8" spans="2:4" x14ac:dyDescent="0.25">
      <c r="B8" s="18" t="s">
        <v>30</v>
      </c>
      <c r="C8" s="8">
        <v>0.2</v>
      </c>
      <c r="D8" s="16" t="s">
        <v>31</v>
      </c>
    </row>
    <row r="9" spans="2:4" x14ac:dyDescent="0.25">
      <c r="B9" s="19" t="s">
        <v>32</v>
      </c>
      <c r="C9" s="9">
        <v>0.1</v>
      </c>
      <c r="D9" s="16" t="s">
        <v>33</v>
      </c>
    </row>
    <row r="10" spans="2:4" x14ac:dyDescent="0.25">
      <c r="B10" s="14" t="s">
        <v>34</v>
      </c>
      <c r="C10" s="10">
        <f>SUM(C6:C9)</f>
        <v>0.99999999999999989</v>
      </c>
      <c r="D10" s="20" t="s">
        <v>35</v>
      </c>
    </row>
    <row r="11" spans="2:4" ht="6" customHeight="1" x14ac:dyDescent="0.25"/>
    <row r="12" spans="2:4" x14ac:dyDescent="0.25">
      <c r="B12" s="69" t="s">
        <v>36</v>
      </c>
      <c r="C12" s="56"/>
      <c r="D12" s="56"/>
    </row>
    <row r="13" spans="2:4" x14ac:dyDescent="0.25">
      <c r="B13" s="14" t="s">
        <v>37</v>
      </c>
      <c r="C13" s="14" t="s">
        <v>38</v>
      </c>
      <c r="D13" s="14" t="s">
        <v>39</v>
      </c>
    </row>
    <row r="14" spans="2:4" x14ac:dyDescent="0.25">
      <c r="B14" s="21" t="s">
        <v>40</v>
      </c>
      <c r="C14" s="22"/>
      <c r="D14" s="11">
        <v>10</v>
      </c>
    </row>
    <row r="15" spans="2:4" x14ac:dyDescent="0.25">
      <c r="B15" s="23">
        <v>0.06</v>
      </c>
      <c r="C15" s="23">
        <v>7.9899999999999999E-2</v>
      </c>
      <c r="D15" s="11">
        <v>8</v>
      </c>
    </row>
    <row r="16" spans="2:4" x14ac:dyDescent="0.25">
      <c r="B16" s="23">
        <v>0.04</v>
      </c>
      <c r="C16" s="23">
        <v>5.9900000000000002E-2</v>
      </c>
      <c r="D16" s="11">
        <v>6</v>
      </c>
    </row>
    <row r="17" spans="2:4" x14ac:dyDescent="0.25">
      <c r="B17" s="23">
        <v>0.02</v>
      </c>
      <c r="C17" s="23">
        <v>3.9899999999999998E-2</v>
      </c>
      <c r="D17" s="11">
        <v>4</v>
      </c>
    </row>
    <row r="18" spans="2:4" x14ac:dyDescent="0.25">
      <c r="B18" s="23">
        <v>0</v>
      </c>
      <c r="C18" s="23">
        <v>1.9900000000000001E-2</v>
      </c>
      <c r="D18" s="11">
        <v>2</v>
      </c>
    </row>
    <row r="19" spans="2:4" x14ac:dyDescent="0.25">
      <c r="B19" s="24">
        <v>-1.9E-2</v>
      </c>
      <c r="C19" s="24">
        <v>-1E-3</v>
      </c>
      <c r="D19" s="12">
        <v>-2</v>
      </c>
    </row>
    <row r="20" spans="2:4" x14ac:dyDescent="0.25">
      <c r="B20" s="24">
        <v>-3.9E-2</v>
      </c>
      <c r="C20" s="24">
        <v>-0.02</v>
      </c>
      <c r="D20" s="12">
        <v>-5</v>
      </c>
    </row>
    <row r="21" spans="2:4" x14ac:dyDescent="0.25">
      <c r="B21" s="24" t="s">
        <v>41</v>
      </c>
      <c r="C21" s="24">
        <v>-0.04</v>
      </c>
      <c r="D21" s="12">
        <v>-10</v>
      </c>
    </row>
    <row r="22" spans="2:4" ht="6" customHeight="1" x14ac:dyDescent="0.25"/>
    <row r="23" spans="2:4" x14ac:dyDescent="0.25">
      <c r="B23" s="65" t="s">
        <v>42</v>
      </c>
      <c r="C23" s="56"/>
      <c r="D23" s="56"/>
    </row>
    <row r="24" spans="2:4" x14ac:dyDescent="0.25">
      <c r="B24" s="14" t="s">
        <v>43</v>
      </c>
      <c r="C24" s="14" t="s">
        <v>44</v>
      </c>
      <c r="D24" s="14" t="s">
        <v>39</v>
      </c>
    </row>
    <row r="25" spans="2:4" x14ac:dyDescent="0.25">
      <c r="B25" s="21" t="s">
        <v>45</v>
      </c>
      <c r="C25" s="21" t="s">
        <v>46</v>
      </c>
      <c r="D25" s="11">
        <v>10</v>
      </c>
    </row>
    <row r="26" spans="2:4" x14ac:dyDescent="0.25">
      <c r="B26" s="23">
        <v>0.9</v>
      </c>
      <c r="C26" s="23">
        <v>0.94989999999999997</v>
      </c>
      <c r="D26" s="11">
        <v>8</v>
      </c>
    </row>
    <row r="27" spans="2:4" x14ac:dyDescent="0.25">
      <c r="B27" s="23">
        <v>0.85</v>
      </c>
      <c r="C27" s="23">
        <v>0.89990000000000003</v>
      </c>
      <c r="D27" s="11">
        <v>6</v>
      </c>
    </row>
    <row r="28" spans="2:4" x14ac:dyDescent="0.25">
      <c r="B28" s="25">
        <v>0.8</v>
      </c>
      <c r="C28" s="25">
        <v>0.84989999999999999</v>
      </c>
      <c r="D28" s="13">
        <v>4</v>
      </c>
    </row>
    <row r="29" spans="2:4" x14ac:dyDescent="0.25">
      <c r="B29" s="25">
        <v>0.7</v>
      </c>
      <c r="C29" s="25">
        <v>0.79990000000000006</v>
      </c>
      <c r="D29" s="13">
        <v>2</v>
      </c>
    </row>
    <row r="30" spans="2:4" x14ac:dyDescent="0.25">
      <c r="B30" s="26"/>
      <c r="C30" s="24">
        <v>0.69989999999999997</v>
      </c>
      <c r="D30" s="12">
        <v>0</v>
      </c>
    </row>
    <row r="31" spans="2:4" ht="6" customHeight="1" x14ac:dyDescent="0.25"/>
    <row r="32" spans="2:4" x14ac:dyDescent="0.25">
      <c r="B32" s="67" t="s">
        <v>47</v>
      </c>
      <c r="C32" s="56"/>
      <c r="D32" s="56"/>
    </row>
    <row r="33" spans="2:4" x14ac:dyDescent="0.25">
      <c r="B33" s="14" t="s">
        <v>48</v>
      </c>
      <c r="C33" s="14" t="s">
        <v>49</v>
      </c>
      <c r="D33" s="14" t="s">
        <v>39</v>
      </c>
    </row>
    <row r="34" spans="2:4" x14ac:dyDescent="0.25">
      <c r="B34" s="21" t="s">
        <v>50</v>
      </c>
      <c r="C34" s="22"/>
      <c r="D34" s="11">
        <v>10</v>
      </c>
    </row>
    <row r="35" spans="2:4" x14ac:dyDescent="0.25">
      <c r="B35" s="23">
        <v>8.1000000000000003E-2</v>
      </c>
      <c r="C35" s="23">
        <v>0.12</v>
      </c>
      <c r="D35" s="11">
        <v>8</v>
      </c>
    </row>
    <row r="36" spans="2:4" x14ac:dyDescent="0.25">
      <c r="B36" s="23">
        <v>5.0999999999999997E-2</v>
      </c>
      <c r="C36" s="23">
        <v>0.08</v>
      </c>
      <c r="D36" s="11">
        <v>6</v>
      </c>
    </row>
    <row r="37" spans="2:4" x14ac:dyDescent="0.25">
      <c r="B37" s="25">
        <v>3.1E-2</v>
      </c>
      <c r="C37" s="25">
        <v>0.05</v>
      </c>
      <c r="D37" s="13">
        <v>4</v>
      </c>
    </row>
    <row r="38" spans="2:4" x14ac:dyDescent="0.25">
      <c r="B38" s="25">
        <v>1.0999999999999999E-2</v>
      </c>
      <c r="C38" s="25">
        <v>0.03</v>
      </c>
      <c r="D38" s="13">
        <v>2</v>
      </c>
    </row>
    <row r="39" spans="2:4" x14ac:dyDescent="0.25">
      <c r="B39" s="24" t="s">
        <v>51</v>
      </c>
      <c r="C39" s="24">
        <v>0.01</v>
      </c>
      <c r="D39" s="12">
        <v>0</v>
      </c>
    </row>
    <row r="40" spans="2:4" ht="6" customHeight="1" x14ac:dyDescent="0.25"/>
    <row r="41" spans="2:4" x14ac:dyDescent="0.25">
      <c r="B41" s="66" t="s">
        <v>52</v>
      </c>
      <c r="C41" s="56"/>
      <c r="D41" s="56"/>
    </row>
    <row r="42" spans="2:4" x14ac:dyDescent="0.25">
      <c r="B42" s="14" t="s">
        <v>37</v>
      </c>
      <c r="C42" s="14" t="s">
        <v>38</v>
      </c>
      <c r="D42" s="14" t="s">
        <v>39</v>
      </c>
    </row>
    <row r="43" spans="2:4" x14ac:dyDescent="0.25">
      <c r="B43" s="21" t="s">
        <v>53</v>
      </c>
      <c r="C43" s="23">
        <v>-0.1</v>
      </c>
      <c r="D43" s="11">
        <v>10</v>
      </c>
    </row>
    <row r="44" spans="2:4" x14ac:dyDescent="0.25">
      <c r="B44" s="23">
        <v>-9.9000000000000005E-2</v>
      </c>
      <c r="C44" s="23">
        <v>-0.05</v>
      </c>
      <c r="D44" s="11">
        <v>8</v>
      </c>
    </row>
    <row r="45" spans="2:4" x14ac:dyDescent="0.25">
      <c r="B45" s="23">
        <v>-4.9000000000000002E-2</v>
      </c>
      <c r="C45" s="23">
        <v>-1E-3</v>
      </c>
      <c r="D45" s="11">
        <v>6</v>
      </c>
    </row>
    <row r="46" spans="2:4" x14ac:dyDescent="0.25">
      <c r="B46" s="25">
        <v>0</v>
      </c>
      <c r="C46" s="25">
        <v>4.9000000000000002E-2</v>
      </c>
      <c r="D46" s="13">
        <v>4</v>
      </c>
    </row>
    <row r="47" spans="2:4" x14ac:dyDescent="0.25">
      <c r="B47" s="25">
        <v>0.05</v>
      </c>
      <c r="C47" s="25">
        <v>9.9000000000000005E-2</v>
      </c>
      <c r="D47" s="13">
        <v>2</v>
      </c>
    </row>
    <row r="48" spans="2:4" x14ac:dyDescent="0.25">
      <c r="B48" s="24">
        <v>0.1</v>
      </c>
      <c r="C48" s="24" t="s">
        <v>54</v>
      </c>
      <c r="D48" s="12">
        <v>0</v>
      </c>
    </row>
  </sheetData>
  <mergeCells count="6">
    <mergeCell ref="B2:D2"/>
    <mergeCell ref="B23:D23"/>
    <mergeCell ref="B41:D41"/>
    <mergeCell ref="B32:D32"/>
    <mergeCell ref="B4:D4"/>
    <mergeCell ref="B12:D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"/>
  <sheetViews>
    <sheetView showGridLines="0" zoomScale="130" zoomScaleNormal="130" workbookViewId="0">
      <selection activeCell="D1" sqref="D1"/>
    </sheetView>
  </sheetViews>
  <sheetFormatPr defaultColWidth="8.7109375" defaultRowHeight="15" x14ac:dyDescent="0.25"/>
  <cols>
    <col min="1" max="1" width="2" style="5" customWidth="1"/>
    <col min="2" max="2" width="22" style="5" customWidth="1"/>
    <col min="3" max="10" width="16" style="5" customWidth="1"/>
    <col min="11" max="11" width="2" style="5" customWidth="1"/>
    <col min="12" max="12" width="8.7109375" style="5" customWidth="1"/>
    <col min="13" max="16384" width="8.7109375" style="5"/>
  </cols>
  <sheetData>
    <row r="1" spans="2:10" x14ac:dyDescent="0.25">
      <c r="C1" s="47" t="s">
        <v>55</v>
      </c>
      <c r="D1" s="49">
        <f>'[1]db iniziale'!$B$1</f>
        <v>46296</v>
      </c>
    </row>
    <row r="2" spans="2:10" x14ac:dyDescent="0.25">
      <c r="C2" s="47" t="s">
        <v>56</v>
      </c>
      <c r="D2" s="48">
        <f>'[1]Riepilogo mese per Commessa'!$D$1</f>
        <v>46321</v>
      </c>
    </row>
    <row r="3" spans="2:10" ht="30" customHeight="1" x14ac:dyDescent="0.25">
      <c r="B3" s="27" t="s">
        <v>1</v>
      </c>
      <c r="C3" s="28" t="s">
        <v>57</v>
      </c>
      <c r="D3" s="28" t="s">
        <v>58</v>
      </c>
      <c r="E3" s="28" t="s">
        <v>59</v>
      </c>
      <c r="F3" s="29" t="s">
        <v>60</v>
      </c>
      <c r="G3" s="30" t="s">
        <v>61</v>
      </c>
      <c r="H3" s="31" t="s">
        <v>62</v>
      </c>
      <c r="I3" s="31" t="s">
        <v>63</v>
      </c>
      <c r="J3" s="31" t="s">
        <v>64</v>
      </c>
    </row>
    <row r="4" spans="2:10" x14ac:dyDescent="0.25">
      <c r="B4" s="32" t="s">
        <v>65</v>
      </c>
      <c r="C4" s="33">
        <f>INDEX([1]dati_comparti!D:D,MATCH($B4,[1]dati_comparti!$B:$B,0))</f>
        <v>0.64992907512514253</v>
      </c>
      <c r="D4" s="33">
        <f>INDEX([1]dati_comparti!E:E,MATCH($B4,[1]dati_comparti!$B:$B,0))</f>
        <v>0.63987653305353032</v>
      </c>
      <c r="E4" s="34">
        <f t="shared" ref="E4:E10" si="0">IF(C4=0,"",IF(D4="","",(D4-C4)))</f>
        <v>-1.0052542071612214E-2</v>
      </c>
      <c r="F4" s="35">
        <f>INDEX([1]dati_comparti!G:G,MATCH($B4,[1]dati_comparti!$B:$B,0))</f>
        <v>0.61290322580645162</v>
      </c>
      <c r="G4" s="36">
        <f>INDEX([1]dati_comparti!H:H,MATCH($B4,[1]dati_comparti!$B:$B,0))</f>
        <v>1.9894566008145619E-2</v>
      </c>
      <c r="H4" s="37">
        <f>INDEX([1]dati_comparti!I:I,MATCH($B4,[1]dati_comparti!$B:$B,0))</f>
        <v>232.07216445995408</v>
      </c>
      <c r="I4" s="37">
        <f>INDEX([1]dati_comparti!J:J,MATCH($B4,[1]dati_comparti!$B:$B,0))</f>
        <v>238.55829538620156</v>
      </c>
      <c r="J4" s="34">
        <f t="shared" ref="J4:J10" si="1">IF(H4=0,"",IF(I4="","",(I4-H4)/H4))</f>
        <v>2.7948767321324817E-2</v>
      </c>
    </row>
    <row r="5" spans="2:10" x14ac:dyDescent="0.25">
      <c r="B5" s="38" t="s">
        <v>66</v>
      </c>
      <c r="C5" s="33">
        <f>INDEX([1]dati_comparti!D:D,MATCH($B5,[1]dati_comparti!$B:$B,0))</f>
        <v>0.76087748780872522</v>
      </c>
      <c r="D5" s="33">
        <f>INDEX([1]dati_comparti!E:E,MATCH($B5,[1]dati_comparti!$B:$B,0))</f>
        <v>0.82250446067332583</v>
      </c>
      <c r="E5" s="39">
        <f t="shared" si="0"/>
        <v>6.1626972864600615E-2</v>
      </c>
      <c r="F5" s="35">
        <f>INDEX([1]dati_comparti!G:G,MATCH($B5,[1]dati_comparti!$B:$B,0))</f>
        <v>1</v>
      </c>
      <c r="G5" s="36">
        <f>INDEX([1]dati_comparti!H:H,MATCH($B5,[1]dati_comparti!$B:$B,0))</f>
        <v>3.6466512892546557E-2</v>
      </c>
      <c r="H5" s="37">
        <f>INDEX([1]dati_comparti!I:I,MATCH($B5,[1]dati_comparti!$B:$B,0))</f>
        <v>250.86808983502152</v>
      </c>
      <c r="I5" s="37">
        <f>INDEX([1]dati_comparti!J:J,MATCH($B5,[1]dati_comparti!$B:$B,0))</f>
        <v>262.9674889259154</v>
      </c>
      <c r="J5" s="39">
        <f t="shared" si="1"/>
        <v>4.8230124041885182E-2</v>
      </c>
    </row>
    <row r="6" spans="2:10" x14ac:dyDescent="0.25">
      <c r="B6" s="32" t="s">
        <v>67</v>
      </c>
      <c r="C6" s="33">
        <f>INDEX([1]dati_comparti!D:D,MATCH($B6,[1]dati_comparti!$B:$B,0))</f>
        <v>0.7887875467257508</v>
      </c>
      <c r="D6" s="33">
        <f>INDEX([1]dati_comparti!E:E,MATCH($B6,[1]dati_comparti!$B:$B,0))</f>
        <v>0.8323751748345628</v>
      </c>
      <c r="E6" s="34">
        <f t="shared" si="0"/>
        <v>4.3587628108812004E-2</v>
      </c>
      <c r="F6" s="35">
        <f>INDEX([1]dati_comparti!G:G,MATCH($B6,[1]dati_comparti!$B:$B,0))</f>
        <v>0.9645744826641085</v>
      </c>
      <c r="G6" s="36">
        <f>INDEX([1]dati_comparti!H:H,MATCH($B6,[1]dati_comparti!$B:$B,0))</f>
        <v>4.5744826641085368E-3</v>
      </c>
      <c r="H6" s="37">
        <f>INDEX([1]dati_comparti!I:I,MATCH($B6,[1]dati_comparti!$B:$B,0))</f>
        <v>218.70039150583702</v>
      </c>
      <c r="I6" s="37">
        <f>INDEX([1]dati_comparti!J:J,MATCH($B6,[1]dati_comparti!$B:$B,0))</f>
        <v>230.70188960716061</v>
      </c>
      <c r="J6" s="34">
        <f t="shared" si="1"/>
        <v>5.4876436291168125E-2</v>
      </c>
    </row>
    <row r="7" spans="2:10" x14ac:dyDescent="0.25">
      <c r="B7" s="38" t="s">
        <v>68</v>
      </c>
      <c r="C7" s="33">
        <f>INDEX([1]dati_comparti!D:D,MATCH($B7,[1]dati_comparti!$B:$B,0))</f>
        <v>0.61747392211126917</v>
      </c>
      <c r="D7" s="33">
        <f>INDEX([1]dati_comparti!E:E,MATCH($B7,[1]dati_comparti!$B:$B,0))</f>
        <v>0.56970181859238656</v>
      </c>
      <c r="E7" s="39">
        <f t="shared" si="0"/>
        <v>-4.7772103518882614E-2</v>
      </c>
      <c r="F7" s="35">
        <f>INDEX([1]dati_comparti!G:G,MATCH($B7,[1]dati_comparti!$B:$B,0))</f>
        <v>0.8392857142857143</v>
      </c>
      <c r="G7" s="36">
        <f>INDEX([1]dati_comparti!H:H,MATCH($B7,[1]dati_comparti!$B:$B,0))</f>
        <v>4.0759355932015129E-2</v>
      </c>
      <c r="H7" s="37">
        <f>INDEX([1]dati_comparti!I:I,MATCH($B7,[1]dati_comparti!$B:$B,0))</f>
        <v>200.75789235670646</v>
      </c>
      <c r="I7" s="37">
        <f>INDEX([1]dati_comparti!J:J,MATCH($B7,[1]dati_comparti!$B:$B,0))</f>
        <v>198.11584956346542</v>
      </c>
      <c r="J7" s="39">
        <f t="shared" si="1"/>
        <v>-1.3160343348029709E-2</v>
      </c>
    </row>
    <row r="8" spans="2:10" x14ac:dyDescent="0.25">
      <c r="B8" s="32" t="s">
        <v>69</v>
      </c>
      <c r="C8" s="33">
        <f>INDEX([1]dati_comparti!D:D,MATCH($B8,[1]dati_comparti!$B:$B,0))</f>
        <v>0.63270000000000004</v>
      </c>
      <c r="D8" s="33">
        <f>INDEX([1]dati_comparti!E:E,MATCH($B8,[1]dati_comparti!$B:$B,0))</f>
        <v>0.32377269384964658</v>
      </c>
      <c r="E8" s="34">
        <f t="shared" si="0"/>
        <v>-0.30892730615035346</v>
      </c>
      <c r="F8" s="35">
        <f>INDEX([1]dati_comparti!G:G,MATCH($B8,[1]dati_comparti!$B:$B,0))</f>
        <v>0.94117647058823528</v>
      </c>
      <c r="G8" s="36">
        <f>INDEX([1]dati_comparti!H:H,MATCH($B8,[1]dati_comparti!$B:$B,0))</f>
        <v>4.3574116087821926E-2</v>
      </c>
      <c r="H8" s="37">
        <f>INDEX([1]dati_comparti!I:I,MATCH($B8,[1]dati_comparti!$B:$B,0))</f>
        <v>146.53039613498757</v>
      </c>
      <c r="I8" s="37">
        <f>INDEX([1]dati_comparti!J:J,MATCH($B8,[1]dati_comparti!$B:$B,0))</f>
        <v>202.23721590909091</v>
      </c>
      <c r="J8" s="34">
        <f t="shared" si="1"/>
        <v>0.38017245051862675</v>
      </c>
    </row>
    <row r="9" spans="2:10" x14ac:dyDescent="0.25">
      <c r="B9" s="38" t="s">
        <v>7</v>
      </c>
      <c r="C9" s="33">
        <f>INDEX([1]dati_comparti!D:D,MATCH($B9,[1]dati_comparti!$B:$B,0))</f>
        <v>0.67570553852501991</v>
      </c>
      <c r="D9" s="33">
        <f>INDEX([1]dati_comparti!E:E,MATCH($B9,[1]dati_comparti!$B:$B,0))</f>
        <v>0.56454651791424171</v>
      </c>
      <c r="E9" s="39">
        <f t="shared" si="0"/>
        <v>-0.1111590206107782</v>
      </c>
      <c r="F9" s="35">
        <f>INDEX([1]dati_comparti!G:G,MATCH($B9,[1]dati_comparti!$B:$B,0))</f>
        <v>0.75</v>
      </c>
      <c r="G9" s="36">
        <f>INDEX([1]dati_comparti!H:H,MATCH($B9,[1]dati_comparti!$B:$B,0))</f>
        <v>4.5052347661172623E-2</v>
      </c>
      <c r="H9" s="37">
        <f>INDEX([1]dati_comparti!I:I,MATCH($B9,[1]dati_comparti!$B:$B,0))</f>
        <v>149.81253801090318</v>
      </c>
      <c r="I9" s="37">
        <f>INDEX([1]dati_comparti!J:J,MATCH($B9,[1]dati_comparti!$B:$B,0))</f>
        <v>168.92666270783849</v>
      </c>
      <c r="J9" s="39">
        <f t="shared" si="1"/>
        <v>0.12758694933493619</v>
      </c>
    </row>
    <row r="10" spans="2:10" x14ac:dyDescent="0.25">
      <c r="B10" s="32" t="s">
        <v>8</v>
      </c>
      <c r="C10" s="33">
        <f>INDEX([1]dati_comparti!D:D,MATCH($B10,[1]dati_comparti!$B:$B,0))</f>
        <v>0.650183652995457</v>
      </c>
      <c r="D10" s="33">
        <f>INDEX([1]dati_comparti!E:E,MATCH($B10,[1]dati_comparti!$B:$B,0))</f>
        <v>0.67060738338935111</v>
      </c>
      <c r="E10" s="34">
        <f t="shared" si="0"/>
        <v>2.0423730393894113E-2</v>
      </c>
      <c r="F10" s="35">
        <f>INDEX([1]dati_comparti!G:G,MATCH($B10,[1]dati_comparti!$B:$B,0))</f>
        <v>0.68421052631578949</v>
      </c>
      <c r="G10" s="36">
        <f>INDEX([1]dati_comparti!H:H,MATCH($B10,[1]dati_comparti!$B:$B,0))</f>
        <v>1.9596616974785607E-2</v>
      </c>
      <c r="H10" s="37">
        <f>INDEX([1]dati_comparti!I:I,MATCH($B10,[1]dati_comparti!$B:$B,0))</f>
        <v>184.92501485879896</v>
      </c>
      <c r="I10" s="37">
        <f>INDEX([1]dati_comparti!J:J,MATCH($B10,[1]dati_comparti!$B:$B,0))</f>
        <v>189.306345041257</v>
      </c>
      <c r="J10" s="34">
        <f t="shared" si="1"/>
        <v>2.3692469003198106E-2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23"/>
  <sheetViews>
    <sheetView showGridLines="0" tabSelected="1" zoomScaleNormal="100" workbookViewId="0">
      <selection activeCell="M13" sqref="M13"/>
    </sheetView>
  </sheetViews>
  <sheetFormatPr defaultColWidth="8.7109375" defaultRowHeight="15" x14ac:dyDescent="0.25"/>
  <cols>
    <col min="1" max="1" width="2" style="5" customWidth="1"/>
    <col min="2" max="2" width="22" style="5" customWidth="1"/>
    <col min="3" max="6" width="14" style="5" customWidth="1"/>
    <col min="7" max="7" width="18" style="5" customWidth="1"/>
    <col min="8" max="8" width="2" style="5" customWidth="1"/>
    <col min="9" max="9" width="8.7109375" style="5" customWidth="1"/>
    <col min="10" max="16384" width="8.7109375" style="5"/>
  </cols>
  <sheetData>
    <row r="2" spans="2:7" ht="18.75" customHeight="1" x14ac:dyDescent="0.25">
      <c r="B2" s="55" t="s">
        <v>0</v>
      </c>
      <c r="C2" s="56"/>
      <c r="D2" s="56"/>
      <c r="E2" s="56"/>
      <c r="F2" s="56"/>
      <c r="G2" s="56"/>
    </row>
    <row r="4" spans="2:7" ht="30" customHeight="1" x14ac:dyDescent="0.25">
      <c r="B4" s="27" t="s">
        <v>1</v>
      </c>
      <c r="C4" s="28" t="s">
        <v>2</v>
      </c>
      <c r="D4" s="29" t="s">
        <v>3</v>
      </c>
      <c r="E4" s="30" t="s">
        <v>4</v>
      </c>
      <c r="F4" s="31" t="s">
        <v>5</v>
      </c>
      <c r="G4" s="40" t="s">
        <v>6</v>
      </c>
    </row>
    <row r="5" spans="2:7" x14ac:dyDescent="0.25">
      <c r="B5" s="32" t="str">
        <f>'Dati Comparti'!B4</f>
        <v>Centro Servizi</v>
      </c>
      <c r="C5" s="41">
        <f>IF('Dati Comparti'!E4="","",IF('Dati Comparti'!E4&gt;=0.08,Parametri!$D$14,IF('Dati Comparti'!E4&gt;=Parametri!$B$15,Parametri!$D$15,IF('Dati Comparti'!E4&gt;=Parametri!$B$16,Parametri!$D$16,IF('Dati Comparti'!E4&gt;=Parametri!$B$17,Parametri!$D$17,IF('Dati Comparti'!E4&gt;=Parametri!$B$18,Parametri!$D$18,IF('Dati Comparti'!E4&gt;=Parametri!$B$19,Parametri!$D$19,IF('Dati Comparti'!E4&gt;Parametri!$C$21,Parametri!$D$20,Parametri!$D$21))))))))</f>
        <v>-2</v>
      </c>
      <c r="D5" s="41">
        <f>IF('Dati Comparti'!F4="","",IF('Dati Comparti'!F4&gt;=0.95,Parametri!$D$25,IF('Dati Comparti'!F4&gt;=Parametri!$B$26,Parametri!$D$26,IF('Dati Comparti'!F4&gt;=Parametri!$B$27,Parametri!$D$27,IF('Dati Comparti'!F4&gt;=Parametri!$B$28,Parametri!$D$28,IF('Dati Comparti'!F4&gt;=Parametri!$B$29,Parametri!$D$29,Parametri!$D$30))))))</f>
        <v>0</v>
      </c>
      <c r="E5" s="41">
        <f>IF('Dati Comparti'!G4="","",IF('Dati Comparti'!G4&gt;0.12,Parametri!$D$34,IF('Dati Comparti'!G4&gt;=Parametri!$B$35,Parametri!$D$35,IF('Dati Comparti'!G4&gt;=Parametri!$B$36,Parametri!$D$36,IF('Dati Comparti'!G4&gt;=Parametri!$B$37,Parametri!$D$37,IF('Dati Comparti'!G4&gt;=Parametri!$B$38,Parametri!$D$38,Parametri!$D$39))))))</f>
        <v>2</v>
      </c>
      <c r="F5" s="41">
        <f>IF('Dati Comparti'!J4="","",IF('Dati Comparti'!J4&lt;=Parametri!$C$43,Parametri!$D$43,IF('Dati Comparti'!J4&lt;=Parametri!$C$44,Parametri!$D$44,IF('Dati Comparti'!J4&lt;=Parametri!$C$45,Parametri!$D$45,IF('Dati Comparti'!J4&lt;=Parametri!$C$46,Parametri!$D$46,IF('Dati Comparti'!J4&lt;=Parametri!$C$47,Parametri!$D$47,Parametri!$D$48))))))</f>
        <v>4</v>
      </c>
      <c r="G5" s="42">
        <f>IF(OR(C5="",D5="",E5="",F5=""),"",ROUND(C5*Parametri!C6+D5*Parametri!C7+E5*Parametri!C8+F5*Parametri!C9,2))</f>
        <v>0</v>
      </c>
    </row>
    <row r="6" spans="2:7" x14ac:dyDescent="0.25">
      <c r="B6" s="38" t="str">
        <f>'Dati Comparti'!B5</f>
        <v>Editoria</v>
      </c>
      <c r="C6" s="43">
        <f>IF('Dati Comparti'!E5="","",IF('Dati Comparti'!E5&gt;=0.08,Parametri!$D$14,IF('Dati Comparti'!E5&gt;=Parametri!$B$15,Parametri!$D$15,IF('Dati Comparti'!E5&gt;=Parametri!$B$16,Parametri!$D$16,IF('Dati Comparti'!E5&gt;=Parametri!$B$17,Parametri!$D$17,IF('Dati Comparti'!E5&gt;=Parametri!$B$18,Parametri!$D$18,IF('Dati Comparti'!E5&gt;=Parametri!$B$19,Parametri!$D$19,IF('Dati Comparti'!E5&gt;Parametri!$C$21,Parametri!$D$20,Parametri!$D$21))))))))</f>
        <v>8</v>
      </c>
      <c r="D6" s="43">
        <f>IF('Dati Comparti'!F5="","",IF('Dati Comparti'!F5&gt;=0.95,Parametri!$D$25,IF('Dati Comparti'!F5&gt;=Parametri!$B$26,Parametri!$D$26,IF('Dati Comparti'!F5&gt;=Parametri!$B$27,Parametri!$D$27,IF('Dati Comparti'!F5&gt;=Parametri!$B$28,Parametri!$D$28,IF('Dati Comparti'!F5&gt;=Parametri!$B$29,Parametri!$D$29,Parametri!$D$30))))))</f>
        <v>10</v>
      </c>
      <c r="E6" s="43">
        <f>IF('Dati Comparti'!G5="","",IF('Dati Comparti'!G5&gt;0.12,Parametri!$D$34,IF('Dati Comparti'!G5&gt;=Parametri!$B$35,Parametri!$D$35,IF('Dati Comparti'!G5&gt;=Parametri!$B$36,Parametri!$D$36,IF('Dati Comparti'!G5&gt;=Parametri!$B$37,Parametri!$D$37,IF('Dati Comparti'!G5&gt;=Parametri!$B$38,Parametri!$D$38,Parametri!$D$39))))))</f>
        <v>4</v>
      </c>
      <c r="F6" s="43">
        <f>IF('Dati Comparti'!J5="","",IF('Dati Comparti'!J5&lt;=Parametri!$C$43,Parametri!$D$43,IF('Dati Comparti'!J5&lt;=Parametri!$C$44,Parametri!$D$44,IF('Dati Comparti'!J5&lt;=Parametri!$C$45,Parametri!$D$45,IF('Dati Comparti'!J5&lt;=Parametri!$C$46,Parametri!$D$46,IF('Dati Comparti'!J5&lt;=Parametri!$C$47,Parametri!$D$47,Parametri!$D$48))))))</f>
        <v>4</v>
      </c>
      <c r="G6" s="42">
        <f>IF(OR(C6="",D6="",E6="",F6=""),"",ROUND(C6*Parametri!C6+D6*Parametri!C7+E6*Parametri!C8+F6*Parametri!C9,2))</f>
        <v>7.4</v>
      </c>
    </row>
    <row r="7" spans="2:7" x14ac:dyDescent="0.25">
      <c r="B7" s="32" t="str">
        <f>'Dati Comparti'!B6</f>
        <v>Gori</v>
      </c>
      <c r="C7" s="41">
        <f>IF('Dati Comparti'!E6="","",IF('Dati Comparti'!E6&gt;=0.08,Parametri!$D$14,IF('Dati Comparti'!E6&gt;=Parametri!$B$15,Parametri!$D$15,IF('Dati Comparti'!E6&gt;=Parametri!$B$16,Parametri!$D$16,IF('Dati Comparti'!E6&gt;=Parametri!$B$17,Parametri!$D$17,IF('Dati Comparti'!E6&gt;=Parametri!$B$18,Parametri!$D$18,IF('Dati Comparti'!E6&gt;=Parametri!$B$19,Parametri!$D$19,IF('Dati Comparti'!E6&gt;Parametri!$C$21,Parametri!$D$20,Parametri!$D$21))))))))</f>
        <v>6</v>
      </c>
      <c r="D7" s="41">
        <f>IF('Dati Comparti'!F6="","",IF('Dati Comparti'!F6&gt;=0.95,Parametri!$D$25,IF('Dati Comparti'!F6&gt;=Parametri!$B$26,Parametri!$D$26,IF('Dati Comparti'!F6&gt;=Parametri!$B$27,Parametri!$D$27,IF('Dati Comparti'!F6&gt;=Parametri!$B$28,Parametri!$D$28,IF('Dati Comparti'!F6&gt;=Parametri!$B$29,Parametri!$D$29,Parametri!$D$30))))))</f>
        <v>10</v>
      </c>
      <c r="E7" s="41">
        <f>IF('Dati Comparti'!G6="","",IF('Dati Comparti'!G6&gt;0.12,Parametri!$D$34,IF('Dati Comparti'!G6&gt;=Parametri!$B$35,Parametri!$D$35,IF('Dati Comparti'!G6&gt;=Parametri!$B$36,Parametri!$D$36,IF('Dati Comparti'!G6&gt;=Parametri!$B$37,Parametri!$D$37,IF('Dati Comparti'!G6&gt;=Parametri!$B$38,Parametri!$D$38,Parametri!$D$39))))))</f>
        <v>0</v>
      </c>
      <c r="F7" s="41">
        <f>IF('Dati Comparti'!J6="","",IF('Dati Comparti'!J6&lt;=Parametri!$C$43,Parametri!$D$43,IF('Dati Comparti'!J6&lt;=Parametri!$C$44,Parametri!$D$44,IF('Dati Comparti'!J6&lt;=Parametri!$C$45,Parametri!$D$45,IF('Dati Comparti'!J6&lt;=Parametri!$C$46,Parametri!$D$46,IF('Dati Comparti'!J6&lt;=Parametri!$C$47,Parametri!$D$47,Parametri!$D$48))))))</f>
        <v>2</v>
      </c>
      <c r="G7" s="42">
        <f>IF(OR(C7="",D7="",E7="",F7=""),"",ROUND(C7*Parametri!C6+D7*Parametri!C7+E7*Parametri!C8+F7*Parametri!C9,2))</f>
        <v>5.6</v>
      </c>
    </row>
    <row r="8" spans="2:7" x14ac:dyDescent="0.25">
      <c r="B8" s="38" t="str">
        <f>'Dati Comparti'!B7</f>
        <v>Idrico</v>
      </c>
      <c r="C8" s="43">
        <f>IF('Dati Comparti'!E7="","",IF('Dati Comparti'!E7&gt;=0.08,Parametri!$D$14,IF('Dati Comparti'!E7&gt;=Parametri!$B$15,Parametri!$D$15,IF('Dati Comparti'!E7&gt;=Parametri!$B$16,Parametri!$D$16,IF('Dati Comparti'!E7&gt;=Parametri!$B$17,Parametri!$D$17,IF('Dati Comparti'!E7&gt;=Parametri!$B$18,Parametri!$D$18,IF('Dati Comparti'!E7&gt;=Parametri!$B$19,Parametri!$D$19,IF('Dati Comparti'!E7&gt;Parametri!$C$21,Parametri!$D$20,Parametri!$D$21))))))))</f>
        <v>-10</v>
      </c>
      <c r="D8" s="43">
        <f>IF('Dati Comparti'!F7="","",IF('Dati Comparti'!F7&gt;=0.95,Parametri!$D$25,IF('Dati Comparti'!F7&gt;=Parametri!$B$26,Parametri!$D$26,IF('Dati Comparti'!F7&gt;=Parametri!$B$27,Parametri!$D$27,IF('Dati Comparti'!F7&gt;=Parametri!$B$28,Parametri!$D$28,IF('Dati Comparti'!F7&gt;=Parametri!$B$29,Parametri!$D$29,Parametri!$D$30))))))</f>
        <v>4</v>
      </c>
      <c r="E8" s="43">
        <f>IF('Dati Comparti'!G7="","",IF('Dati Comparti'!G7&gt;0.12,Parametri!$D$34,IF('Dati Comparti'!G7&gt;=Parametri!$B$35,Parametri!$D$35,IF('Dati Comparti'!G7&gt;=Parametri!$B$36,Parametri!$D$36,IF('Dati Comparti'!G7&gt;=Parametri!$B$37,Parametri!$D$37,IF('Dati Comparti'!G7&gt;=Parametri!$B$38,Parametri!$D$38,Parametri!$D$39))))))</f>
        <v>4</v>
      </c>
      <c r="F8" s="43">
        <f>IF('Dati Comparti'!J7="","",IF('Dati Comparti'!J7&lt;=Parametri!$C$43,Parametri!$D$43,IF('Dati Comparti'!J7&lt;=Parametri!$C$44,Parametri!$D$44,IF('Dati Comparti'!J7&lt;=Parametri!$C$45,Parametri!$D$45,IF('Dati Comparti'!J7&lt;=Parametri!$C$46,Parametri!$D$46,IF('Dati Comparti'!J7&lt;=Parametri!$C$47,Parametri!$D$47,Parametri!$D$48))))))</f>
        <v>6</v>
      </c>
      <c r="G8" s="42">
        <f>IF(OR(C8="",D8="",E8="",F8=""),"",ROUND(C8*Parametri!C6+D8*Parametri!C7+E8*Parametri!C8+F8*Parametri!C9,2))</f>
        <v>-1.4</v>
      </c>
    </row>
    <row r="9" spans="2:7" x14ac:dyDescent="0.25">
      <c r="B9" s="32" t="str">
        <f>'Dati Comparti'!B8</f>
        <v>Igiene Ambientale</v>
      </c>
      <c r="C9" s="41">
        <f>IF('Dati Comparti'!E8="","",IF('Dati Comparti'!E8&gt;=0.08,Parametri!$D$14,IF('Dati Comparti'!E8&gt;=Parametri!$B$15,Parametri!$D$15,IF('Dati Comparti'!E8&gt;=Parametri!$B$16,Parametri!$D$16,IF('Dati Comparti'!E8&gt;=Parametri!$B$17,Parametri!$D$17,IF('Dati Comparti'!E8&gt;=Parametri!$B$18,Parametri!$D$18,IF('Dati Comparti'!E8&gt;=Parametri!$B$19,Parametri!$D$19,IF('Dati Comparti'!E8&gt;Parametri!$C$21,Parametri!$D$20,Parametri!$D$21))))))))</f>
        <v>-10</v>
      </c>
      <c r="D9" s="41">
        <f>IF('Dati Comparti'!F8="","",IF('Dati Comparti'!F8&gt;=0.95,Parametri!$D$25,IF('Dati Comparti'!F8&gt;=Parametri!$B$26,Parametri!$D$26,IF('Dati Comparti'!F8&gt;=Parametri!$B$27,Parametri!$D$27,IF('Dati Comparti'!F8&gt;=Parametri!$B$28,Parametri!$D$28,IF('Dati Comparti'!F8&gt;=Parametri!$B$29,Parametri!$D$29,Parametri!$D$30))))))</f>
        <v>8</v>
      </c>
      <c r="E9" s="41">
        <f>IF('Dati Comparti'!G8="","",IF('Dati Comparti'!G8&gt;0.12,Parametri!$D$34,IF('Dati Comparti'!G8&gt;=Parametri!$B$35,Parametri!$D$35,IF('Dati Comparti'!G8&gt;=Parametri!$B$36,Parametri!$D$36,IF('Dati Comparti'!G8&gt;=Parametri!$B$37,Parametri!$D$37,IF('Dati Comparti'!G8&gt;=Parametri!$B$38,Parametri!$D$38,Parametri!$D$39))))))</f>
        <v>4</v>
      </c>
      <c r="F9" s="41">
        <f>IF('Dati Comparti'!J8="","",IF('Dati Comparti'!J8&lt;=Parametri!$C$43,Parametri!$D$43,IF('Dati Comparti'!J8&lt;=Parametri!$C$44,Parametri!$D$44,IF('Dati Comparti'!J8&lt;=Parametri!$C$45,Parametri!$D$45,IF('Dati Comparti'!J8&lt;=Parametri!$C$46,Parametri!$D$46,IF('Dati Comparti'!J8&lt;=Parametri!$C$47,Parametri!$D$47,Parametri!$D$48))))))</f>
        <v>0</v>
      </c>
      <c r="G9" s="42">
        <f>IF(OR(C9="",D9="",E9="",F9=""),"",ROUND(C9*Parametri!C6+D9*Parametri!C7+E9*Parametri!C8+F9*Parametri!C9,2))</f>
        <v>-0.8</v>
      </c>
    </row>
    <row r="10" spans="2:7" x14ac:dyDescent="0.25">
      <c r="B10" s="38" t="s">
        <v>7</v>
      </c>
      <c r="C10" s="43">
        <f>IF('Dati Comparti'!E9="","",IF('Dati Comparti'!E9&gt;=0.08,Parametri!$D$14,IF('Dati Comparti'!E9&gt;=Parametri!$B$15,Parametri!$D$15,IF('Dati Comparti'!E9&gt;=Parametri!$B$16,Parametri!$D$16,IF('Dati Comparti'!E9&gt;=Parametri!$B$17,Parametri!$D$17,IF('Dati Comparti'!E9&gt;=Parametri!$B$18,Parametri!$D$18,IF('Dati Comparti'!E9&gt;=Parametri!$B$19,Parametri!$D$19,IF('Dati Comparti'!E9&gt;Parametri!$C$21,Parametri!$D$20,Parametri!$D$21))))))))</f>
        <v>-10</v>
      </c>
      <c r="D10" s="43">
        <f>IF('Dati Comparti'!F9="","",IF('Dati Comparti'!F9&gt;=0.95,Parametri!$D$25,IF('Dati Comparti'!F9&gt;=Parametri!$B$26,Parametri!$D$26,IF('Dati Comparti'!F9&gt;=Parametri!$B$27,Parametri!$D$27,IF('Dati Comparti'!F9&gt;=Parametri!$B$28,Parametri!$D$28,IF('Dati Comparti'!F9&gt;=Parametri!$B$29,Parametri!$D$29,Parametri!$D$30))))))</f>
        <v>2</v>
      </c>
      <c r="E10" s="43">
        <f>IF('Dati Comparti'!G9="","",IF('Dati Comparti'!G9&gt;0.12,Parametri!$D$34,IF('Dati Comparti'!G9&gt;=Parametri!$B$35,Parametri!$D$35,IF('Dati Comparti'!G9&gt;=Parametri!$B$36,Parametri!$D$36,IF('Dati Comparti'!G9&gt;=Parametri!$B$37,Parametri!$D$37,IF('Dati Comparti'!G9&gt;=Parametri!$B$38,Parametri!$D$38,Parametri!$D$39))))))</f>
        <v>4</v>
      </c>
      <c r="F10" s="43">
        <f>IF('Dati Comparti'!J9="","",IF('Dati Comparti'!J9&lt;=Parametri!$C$43,Parametri!$D$43,IF('Dati Comparti'!J9&lt;=Parametri!$C$44,Parametri!$D$44,IF('Dati Comparti'!J9&lt;=Parametri!$C$45,Parametri!$D$45,IF('Dati Comparti'!J9&lt;=Parametri!$C$46,Parametri!$D$46,IF('Dati Comparti'!J9&lt;=Parametri!$C$47,Parametri!$D$47,Parametri!$D$48))))))</f>
        <v>0</v>
      </c>
      <c r="G10" s="42">
        <f>IF(OR(C10="",D10="",E10="",F10=""),"",ROUND(C10*Parametri!C6+D10*Parametri!C7+E10*Parametri!C8+F10*Parametri!C9,2))</f>
        <v>-2.6</v>
      </c>
    </row>
    <row r="11" spans="2:7" x14ac:dyDescent="0.25">
      <c r="B11" s="32" t="s">
        <v>8</v>
      </c>
      <c r="C11" s="41">
        <f>IF('Dati Comparti'!E10="","",IF('Dati Comparti'!E10&gt;=0.08,Parametri!$D$14,IF('Dati Comparti'!E10&gt;=Parametri!$B$15,Parametri!$D$15,IF('Dati Comparti'!E10&gt;=Parametri!$B$16,Parametri!$D$16,IF('Dati Comparti'!E10&gt;=Parametri!$B$17,Parametri!$D$17,IF('Dati Comparti'!E10&gt;=Parametri!$B$18,Parametri!$D$18,IF('Dati Comparti'!E10&gt;=Parametri!$B$19,Parametri!$D$19,IF('Dati Comparti'!E10&gt;Parametri!$C$21,Parametri!$D$20,Parametri!$D$21))))))))</f>
        <v>4</v>
      </c>
      <c r="D11" s="41">
        <f>IF('Dati Comparti'!F10="","",IF('Dati Comparti'!F10&gt;=0.95,Parametri!$D$25,IF('Dati Comparti'!F10&gt;=Parametri!$B$26,Parametri!$D$26,IF('Dati Comparti'!F10&gt;=Parametri!$B$27,Parametri!$D$27,IF('Dati Comparti'!F10&gt;=Parametri!$B$28,Parametri!$D$28,IF('Dati Comparti'!F10&gt;=Parametri!$B$29,Parametri!$D$29,Parametri!$D$30))))))</f>
        <v>0</v>
      </c>
      <c r="E11" s="41">
        <f>IF('Dati Comparti'!G10="","",IF('Dati Comparti'!G10&gt;0.12,Parametri!$D$34,IF('Dati Comparti'!G10&gt;=Parametri!$B$35,Parametri!$D$35,IF('Dati Comparti'!G10&gt;=Parametri!$B$36,Parametri!$D$36,IF('Dati Comparti'!G10&gt;=Parametri!$B$37,Parametri!$D$37,IF('Dati Comparti'!G10&gt;=Parametri!$B$38,Parametri!$D$38,Parametri!$D$39))))))</f>
        <v>2</v>
      </c>
      <c r="F11" s="41">
        <f>IF('Dati Comparti'!J10="","",IF('Dati Comparti'!J10&lt;=Parametri!$C$43,Parametri!$D$43,IF('Dati Comparti'!J10&lt;=Parametri!$C$44,Parametri!$D$44,IF('Dati Comparti'!J10&lt;=Parametri!$C$45,Parametri!$D$45,IF('Dati Comparti'!J10&lt;=Parametri!$C$46,Parametri!$D$46,IF('Dati Comparti'!J10&lt;=Parametri!$C$47,Parametri!$D$47,Parametri!$D$48))))))</f>
        <v>4</v>
      </c>
      <c r="G11" s="42">
        <f>IF(OR(C11="",D11="",E11="",F11=""),"",ROUND(C11*Parametri!C6+D11*Parametri!C7+E11*Parametri!C8+F11*Parametri!C9,2))</f>
        <v>2.4</v>
      </c>
    </row>
    <row r="13" spans="2:7" x14ac:dyDescent="0.25">
      <c r="B13" s="62" t="s">
        <v>9</v>
      </c>
      <c r="C13" s="56"/>
      <c r="D13" s="56"/>
      <c r="E13" s="56"/>
      <c r="F13" s="56"/>
      <c r="G13" s="56"/>
    </row>
    <row r="14" spans="2:7" x14ac:dyDescent="0.25">
      <c r="B14" s="14" t="s">
        <v>10</v>
      </c>
      <c r="C14" s="63" t="s">
        <v>11</v>
      </c>
      <c r="D14" s="56"/>
      <c r="E14" s="56"/>
      <c r="F14" s="64"/>
      <c r="G14" s="14" t="s">
        <v>12</v>
      </c>
    </row>
    <row r="15" spans="2:7" x14ac:dyDescent="0.25">
      <c r="B15" s="44" t="s">
        <v>13</v>
      </c>
      <c r="C15" s="61" t="str">
        <f>IFERROR(INDEX(Scoring!B5:B11,MATCH(LARGE(Scoring!G5:G11,1),Scoring!G5:G11,0)),"")</f>
        <v>Editoria</v>
      </c>
      <c r="D15" s="56"/>
      <c r="E15" s="56"/>
      <c r="F15" s="56"/>
      <c r="G15" s="1">
        <f>IFERROR(LARGE(Scoring!G5:G11,1),"")</f>
        <v>7.4</v>
      </c>
    </row>
    <row r="16" spans="2:7" x14ac:dyDescent="0.25">
      <c r="B16" s="45" t="s">
        <v>14</v>
      </c>
      <c r="C16" s="60" t="str">
        <f>IFERROR(INDEX(Scoring!B5:B11,MATCH(LARGE(Scoring!G5:G11,2),Scoring!G5:G11,0)),"")</f>
        <v>Gori</v>
      </c>
      <c r="D16" s="56"/>
      <c r="E16" s="56"/>
      <c r="F16" s="56"/>
      <c r="G16" s="2">
        <f>IFERROR(LARGE(Scoring!G5:G11,2),"")</f>
        <v>5.6</v>
      </c>
    </row>
    <row r="17" spans="2:7" x14ac:dyDescent="0.25">
      <c r="B17" s="46" t="s">
        <v>15</v>
      </c>
      <c r="C17" s="58" t="str">
        <f>IFERROR(INDEX(Scoring!B5:B11,MATCH(LARGE(Scoring!G5:G11,3),Scoring!G5:G11,0)),"")</f>
        <v>Medicale</v>
      </c>
      <c r="D17" s="56"/>
      <c r="E17" s="56"/>
      <c r="F17" s="56"/>
      <c r="G17" s="3">
        <f>IFERROR(LARGE(Scoring!G5:G11,3),"")</f>
        <v>2.4</v>
      </c>
    </row>
    <row r="18" spans="2:7" x14ac:dyDescent="0.25">
      <c r="B18" s="14" t="s">
        <v>16</v>
      </c>
      <c r="C18" s="57" t="str">
        <f>IFERROR(INDEX(Scoring!B5:B11,MATCH(LARGE(Scoring!G5:G11,4),Scoring!G5:G11,0)),"")</f>
        <v>Centro Servizi</v>
      </c>
      <c r="D18" s="56"/>
      <c r="E18" s="56"/>
      <c r="F18" s="56"/>
      <c r="G18" s="4">
        <f>IFERROR(LARGE(Scoring!G5:G11,4),"")</f>
        <v>0</v>
      </c>
    </row>
    <row r="19" spans="2:7" x14ac:dyDescent="0.25">
      <c r="B19" s="14" t="s">
        <v>17</v>
      </c>
      <c r="C19" s="57" t="str">
        <f>IFERROR(INDEX(Scoring!B5:B11,MATCH(LARGE(Scoring!G5:G11,5),Scoring!G5:G11,0)),"")</f>
        <v>Igiene Ambientale</v>
      </c>
      <c r="D19" s="56"/>
      <c r="E19" s="56"/>
      <c r="F19" s="56"/>
      <c r="G19" s="4">
        <f>IFERROR(LARGE(Scoring!G5:G11,5),"")</f>
        <v>-0.8</v>
      </c>
    </row>
    <row r="20" spans="2:7" x14ac:dyDescent="0.25">
      <c r="B20" s="14" t="s">
        <v>18</v>
      </c>
      <c r="C20" s="57" t="str">
        <f>IFERROR(INDEX(Scoring!B5:B11,MATCH(LARGE(Scoring!G5:G11,6),Scoring!G5:G11,0)),"")</f>
        <v>Idrico</v>
      </c>
      <c r="D20" s="56"/>
      <c r="E20" s="56"/>
      <c r="F20" s="56"/>
      <c r="G20" s="4">
        <f>IFERROR(LARGE(Scoring!G5:G11,6),"")</f>
        <v>-1.4</v>
      </c>
    </row>
    <row r="21" spans="2:7" x14ac:dyDescent="0.25">
      <c r="B21" s="14" t="s">
        <v>19</v>
      </c>
      <c r="C21" s="57" t="str">
        <f>IFERROR(INDEX(Scoring!B5:B11,MATCH(LARGE(Scoring!G5:G11,7),Scoring!G5:G11,0)),"")</f>
        <v>ITS</v>
      </c>
      <c r="D21" s="56"/>
      <c r="E21" s="56"/>
      <c r="F21" s="56"/>
      <c r="G21" s="4">
        <f>IFERROR(LARGE(Scoring!G5:G11,7),"")</f>
        <v>-2.6</v>
      </c>
    </row>
    <row r="23" spans="2:7" x14ac:dyDescent="0.25">
      <c r="B23" s="59" t="s">
        <v>20</v>
      </c>
      <c r="C23" s="56"/>
      <c r="D23" s="56"/>
      <c r="E23" s="56"/>
      <c r="F23" s="56"/>
      <c r="G23" s="56"/>
    </row>
  </sheetData>
  <mergeCells count="11">
    <mergeCell ref="B2:G2"/>
    <mergeCell ref="C18:F18"/>
    <mergeCell ref="C17:F17"/>
    <mergeCell ref="C20:F20"/>
    <mergeCell ref="B23:G23"/>
    <mergeCell ref="C21:F21"/>
    <mergeCell ref="C16:F16"/>
    <mergeCell ref="C15:F15"/>
    <mergeCell ref="B13:G13"/>
    <mergeCell ref="C19:F19"/>
    <mergeCell ref="C14:F1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6"/>
  <sheetViews>
    <sheetView zoomScale="85" zoomScaleNormal="85" workbookViewId="0">
      <pane ySplit="1" topLeftCell="A2" activePane="bottomLeft" state="frozen"/>
      <selection pane="bottomLeft" activeCell="N26" sqref="N26"/>
    </sheetView>
  </sheetViews>
  <sheetFormatPr defaultRowHeight="15" x14ac:dyDescent="0.25"/>
  <cols>
    <col min="1" max="1" width="12" customWidth="1"/>
    <col min="2" max="2" width="20" customWidth="1"/>
    <col min="3" max="3" width="14" customWidth="1"/>
    <col min="4" max="6" width="8" customWidth="1"/>
    <col min="7" max="7" width="9" customWidth="1"/>
  </cols>
  <sheetData>
    <row r="1" spans="1:7" x14ac:dyDescent="0.25">
      <c r="A1" s="50" t="s">
        <v>55</v>
      </c>
      <c r="B1" s="50" t="s">
        <v>11</v>
      </c>
      <c r="C1" s="50" t="s">
        <v>26</v>
      </c>
      <c r="D1" s="50" t="s">
        <v>28</v>
      </c>
      <c r="E1" s="50" t="s">
        <v>30</v>
      </c>
      <c r="F1" s="50" t="s">
        <v>32</v>
      </c>
      <c r="G1" s="50" t="s">
        <v>70</v>
      </c>
    </row>
    <row r="2" spans="1:7" x14ac:dyDescent="0.25">
      <c r="A2" s="51" t="s">
        <v>71</v>
      </c>
      <c r="B2" s="51" t="s">
        <v>65</v>
      </c>
      <c r="C2" s="52">
        <v>10</v>
      </c>
      <c r="D2" s="52">
        <v>2</v>
      </c>
      <c r="E2" s="52">
        <v>2</v>
      </c>
      <c r="F2" s="52">
        <v>6</v>
      </c>
      <c r="G2" s="52">
        <v>5.6</v>
      </c>
    </row>
    <row r="3" spans="1:7" x14ac:dyDescent="0.25">
      <c r="A3" s="51" t="s">
        <v>71</v>
      </c>
      <c r="B3" s="51" t="s">
        <v>66</v>
      </c>
      <c r="C3" s="52">
        <v>-5</v>
      </c>
      <c r="D3" s="52">
        <v>10</v>
      </c>
      <c r="E3" s="52">
        <v>4</v>
      </c>
      <c r="F3" s="52">
        <v>4</v>
      </c>
      <c r="G3" s="52">
        <v>2.2000000000000002</v>
      </c>
    </row>
    <row r="4" spans="1:7" x14ac:dyDescent="0.25">
      <c r="A4" s="51" t="s">
        <v>71</v>
      </c>
      <c r="B4" s="51" t="s">
        <v>67</v>
      </c>
      <c r="C4" s="52">
        <v>-10</v>
      </c>
      <c r="D4" s="52">
        <v>10</v>
      </c>
      <c r="E4" s="52">
        <v>2</v>
      </c>
      <c r="F4" s="52">
        <v>4</v>
      </c>
      <c r="G4" s="52">
        <v>-0.2</v>
      </c>
    </row>
    <row r="5" spans="1:7" x14ac:dyDescent="0.25">
      <c r="A5" s="51" t="s">
        <v>71</v>
      </c>
      <c r="B5" s="51" t="s">
        <v>68</v>
      </c>
      <c r="C5" s="52">
        <v>6</v>
      </c>
      <c r="D5" s="52">
        <v>0</v>
      </c>
      <c r="E5" s="52">
        <v>0</v>
      </c>
      <c r="F5" s="52">
        <v>6</v>
      </c>
      <c r="G5" s="52">
        <v>3</v>
      </c>
    </row>
    <row r="6" spans="1:7" x14ac:dyDescent="0.25">
      <c r="A6" s="51" t="s">
        <v>71</v>
      </c>
      <c r="B6" s="51" t="s">
        <v>69</v>
      </c>
      <c r="C6" s="52">
        <v>-10</v>
      </c>
      <c r="D6" s="52">
        <v>0</v>
      </c>
      <c r="E6" s="52">
        <v>0</v>
      </c>
      <c r="F6" s="52">
        <v>8</v>
      </c>
      <c r="G6" s="52">
        <v>-3.2</v>
      </c>
    </row>
    <row r="7" spans="1:7" x14ac:dyDescent="0.25">
      <c r="A7" s="51" t="s">
        <v>71</v>
      </c>
      <c r="B7" s="51" t="s">
        <v>7</v>
      </c>
      <c r="C7" s="52">
        <v>-10</v>
      </c>
      <c r="D7" s="52">
        <v>0</v>
      </c>
      <c r="E7" s="52">
        <v>0</v>
      </c>
      <c r="F7" s="52">
        <v>10</v>
      </c>
      <c r="G7" s="52">
        <v>-3</v>
      </c>
    </row>
    <row r="8" spans="1:7" x14ac:dyDescent="0.25">
      <c r="A8" s="53" t="s">
        <v>71</v>
      </c>
      <c r="B8" s="53" t="s">
        <v>8</v>
      </c>
      <c r="C8" s="54">
        <v>6</v>
      </c>
      <c r="D8" s="54">
        <v>0</v>
      </c>
      <c r="E8" s="54">
        <v>0</v>
      </c>
      <c r="F8" s="54">
        <v>4</v>
      </c>
      <c r="G8" s="54">
        <v>2.8</v>
      </c>
    </row>
    <row r="9" spans="1:7" x14ac:dyDescent="0.25">
      <c r="A9" s="51" t="s">
        <v>72</v>
      </c>
      <c r="B9" s="51" t="s">
        <v>65</v>
      </c>
      <c r="C9" s="52">
        <v>10</v>
      </c>
      <c r="D9" s="52">
        <v>0</v>
      </c>
      <c r="E9" s="52">
        <v>0</v>
      </c>
      <c r="F9" s="52">
        <v>6</v>
      </c>
      <c r="G9" s="52">
        <v>4.5999999999999996</v>
      </c>
    </row>
    <row r="10" spans="1:7" x14ac:dyDescent="0.25">
      <c r="A10" s="51" t="s">
        <v>72</v>
      </c>
      <c r="B10" s="51" t="s">
        <v>66</v>
      </c>
      <c r="C10" s="52">
        <v>10</v>
      </c>
      <c r="D10" s="52">
        <v>10</v>
      </c>
      <c r="E10" s="52">
        <v>4</v>
      </c>
      <c r="F10" s="52">
        <v>0</v>
      </c>
      <c r="G10" s="52">
        <v>7.8</v>
      </c>
    </row>
    <row r="11" spans="1:7" x14ac:dyDescent="0.25">
      <c r="A11" s="51" t="s">
        <v>72</v>
      </c>
      <c r="B11" s="51" t="s">
        <v>67</v>
      </c>
      <c r="C11" s="52">
        <v>-10</v>
      </c>
      <c r="D11" s="52">
        <v>10</v>
      </c>
      <c r="E11" s="52">
        <v>2</v>
      </c>
      <c r="F11" s="52">
        <v>4</v>
      </c>
      <c r="G11" s="52">
        <v>-0.2</v>
      </c>
    </row>
    <row r="12" spans="1:7" x14ac:dyDescent="0.25">
      <c r="A12" s="51" t="s">
        <v>72</v>
      </c>
      <c r="B12" s="51" t="s">
        <v>68</v>
      </c>
      <c r="C12" s="52">
        <v>4</v>
      </c>
      <c r="D12" s="52">
        <v>0</v>
      </c>
      <c r="E12" s="52">
        <v>0</v>
      </c>
      <c r="F12" s="52">
        <v>4</v>
      </c>
      <c r="G12" s="52">
        <v>2</v>
      </c>
    </row>
    <row r="13" spans="1:7" x14ac:dyDescent="0.25">
      <c r="A13" s="51" t="s">
        <v>72</v>
      </c>
      <c r="B13" s="51" t="s">
        <v>69</v>
      </c>
      <c r="C13" s="52">
        <v>-10</v>
      </c>
      <c r="D13" s="52">
        <v>0</v>
      </c>
      <c r="E13" s="52">
        <v>0</v>
      </c>
      <c r="F13" s="52">
        <v>0</v>
      </c>
      <c r="G13" s="52">
        <v>-4</v>
      </c>
    </row>
    <row r="14" spans="1:7" x14ac:dyDescent="0.25">
      <c r="A14" s="51" t="s">
        <v>72</v>
      </c>
      <c r="B14" s="51" t="s">
        <v>7</v>
      </c>
      <c r="C14" s="52">
        <v>-10</v>
      </c>
      <c r="D14" s="52">
        <v>0</v>
      </c>
      <c r="E14" s="52">
        <v>0</v>
      </c>
      <c r="F14" s="52">
        <v>8</v>
      </c>
      <c r="G14" s="52">
        <v>-3.2</v>
      </c>
    </row>
    <row r="15" spans="1:7" x14ac:dyDescent="0.25">
      <c r="A15" s="53" t="s">
        <v>72</v>
      </c>
      <c r="B15" s="53" t="s">
        <v>8</v>
      </c>
      <c r="C15" s="54">
        <v>6</v>
      </c>
      <c r="D15" s="54">
        <v>0</v>
      </c>
      <c r="E15" s="54">
        <v>0</v>
      </c>
      <c r="F15" s="54">
        <v>2</v>
      </c>
      <c r="G15" s="54">
        <v>2.6</v>
      </c>
    </row>
    <row r="16" spans="1:7" x14ac:dyDescent="0.25">
      <c r="A16" s="51" t="s">
        <v>73</v>
      </c>
      <c r="B16" s="51" t="s">
        <v>65</v>
      </c>
      <c r="C16" s="52">
        <v>10</v>
      </c>
      <c r="D16" s="52">
        <v>0</v>
      </c>
      <c r="E16" s="52">
        <v>0</v>
      </c>
      <c r="F16" s="52">
        <v>6</v>
      </c>
      <c r="G16" s="52">
        <v>4.5999999999999996</v>
      </c>
    </row>
    <row r="17" spans="1:7" x14ac:dyDescent="0.25">
      <c r="A17" s="51" t="s">
        <v>73</v>
      </c>
      <c r="B17" s="51" t="s">
        <v>66</v>
      </c>
      <c r="C17" s="52">
        <v>-5</v>
      </c>
      <c r="D17" s="52">
        <v>10</v>
      </c>
      <c r="E17" s="52">
        <v>4</v>
      </c>
      <c r="F17" s="52">
        <v>0</v>
      </c>
      <c r="G17" s="52">
        <v>1.8</v>
      </c>
    </row>
    <row r="18" spans="1:7" x14ac:dyDescent="0.25">
      <c r="A18" s="51" t="s">
        <v>73</v>
      </c>
      <c r="B18" s="51" t="s">
        <v>67</v>
      </c>
      <c r="C18" s="52">
        <v>4</v>
      </c>
      <c r="D18" s="52">
        <v>10</v>
      </c>
      <c r="E18" s="52">
        <v>2</v>
      </c>
      <c r="F18" s="52">
        <v>4</v>
      </c>
      <c r="G18" s="52">
        <v>5.4</v>
      </c>
    </row>
    <row r="19" spans="1:7" x14ac:dyDescent="0.25">
      <c r="A19" s="51" t="s">
        <v>73</v>
      </c>
      <c r="B19" s="51" t="s">
        <v>68</v>
      </c>
      <c r="C19" s="52">
        <v>2</v>
      </c>
      <c r="D19" s="52">
        <v>0</v>
      </c>
      <c r="E19" s="52">
        <v>0</v>
      </c>
      <c r="F19" s="52">
        <v>6</v>
      </c>
      <c r="G19" s="52">
        <v>1.4</v>
      </c>
    </row>
    <row r="20" spans="1:7" x14ac:dyDescent="0.25">
      <c r="A20" s="51" t="s">
        <v>73</v>
      </c>
      <c r="B20" s="51" t="s">
        <v>69</v>
      </c>
      <c r="C20" s="52">
        <v>-10</v>
      </c>
      <c r="D20" s="52">
        <v>0</v>
      </c>
      <c r="E20" s="52">
        <v>0</v>
      </c>
      <c r="F20" s="52">
        <v>0</v>
      </c>
      <c r="G20" s="52">
        <v>-4</v>
      </c>
    </row>
    <row r="21" spans="1:7" x14ac:dyDescent="0.25">
      <c r="A21" s="51" t="s">
        <v>73</v>
      </c>
      <c r="B21" s="51" t="s">
        <v>7</v>
      </c>
      <c r="C21" s="52">
        <v>-10</v>
      </c>
      <c r="D21" s="52">
        <v>2</v>
      </c>
      <c r="E21" s="52">
        <v>2</v>
      </c>
      <c r="F21" s="52">
        <v>8</v>
      </c>
      <c r="G21" s="52">
        <v>-2.2000000000000002</v>
      </c>
    </row>
    <row r="22" spans="1:7" x14ac:dyDescent="0.25">
      <c r="A22" s="53" t="s">
        <v>73</v>
      </c>
      <c r="B22" s="53" t="s">
        <v>8</v>
      </c>
      <c r="C22" s="54">
        <v>10</v>
      </c>
      <c r="D22" s="54">
        <v>0</v>
      </c>
      <c r="E22" s="54">
        <v>0</v>
      </c>
      <c r="F22" s="54">
        <v>4</v>
      </c>
      <c r="G22" s="54">
        <v>4.4000000000000004</v>
      </c>
    </row>
    <row r="23" spans="1:7" x14ac:dyDescent="0.25">
      <c r="A23" s="51" t="s">
        <v>74</v>
      </c>
      <c r="B23" s="51" t="s">
        <v>65</v>
      </c>
      <c r="C23" s="52">
        <v>8</v>
      </c>
      <c r="D23" s="52">
        <v>0</v>
      </c>
      <c r="E23" s="52">
        <v>0</v>
      </c>
      <c r="F23" s="52">
        <v>6</v>
      </c>
      <c r="G23" s="52">
        <v>3.8</v>
      </c>
    </row>
    <row r="24" spans="1:7" x14ac:dyDescent="0.25">
      <c r="A24" s="51" t="s">
        <v>74</v>
      </c>
      <c r="B24" s="51" t="s">
        <v>66</v>
      </c>
      <c r="C24" s="52">
        <v>10</v>
      </c>
      <c r="D24" s="52">
        <v>10</v>
      </c>
      <c r="E24" s="52">
        <v>4</v>
      </c>
      <c r="F24" s="52">
        <v>2</v>
      </c>
      <c r="G24" s="52">
        <v>8</v>
      </c>
    </row>
    <row r="25" spans="1:7" x14ac:dyDescent="0.25">
      <c r="A25" s="51" t="s">
        <v>74</v>
      </c>
      <c r="B25" s="51" t="s">
        <v>67</v>
      </c>
      <c r="C25" s="52">
        <v>-2</v>
      </c>
      <c r="D25" s="52">
        <v>10</v>
      </c>
      <c r="E25" s="52">
        <v>0</v>
      </c>
      <c r="F25" s="52">
        <v>6</v>
      </c>
      <c r="G25" s="52">
        <v>2.8</v>
      </c>
    </row>
    <row r="26" spans="1:7" x14ac:dyDescent="0.25">
      <c r="A26" s="51" t="s">
        <v>74</v>
      </c>
      <c r="B26" s="51" t="s">
        <v>68</v>
      </c>
      <c r="C26" s="52">
        <v>-5</v>
      </c>
      <c r="D26" s="52">
        <v>6</v>
      </c>
      <c r="E26" s="52">
        <v>4</v>
      </c>
      <c r="F26" s="52">
        <v>8</v>
      </c>
      <c r="G26" s="52">
        <v>1.4</v>
      </c>
    </row>
    <row r="27" spans="1:7" x14ac:dyDescent="0.25">
      <c r="A27" s="51" t="s">
        <v>74</v>
      </c>
      <c r="B27" s="51" t="s">
        <v>69</v>
      </c>
      <c r="C27" s="52">
        <v>-10</v>
      </c>
      <c r="D27" s="52">
        <v>0</v>
      </c>
      <c r="E27" s="52">
        <v>0</v>
      </c>
      <c r="F27" s="52">
        <v>0</v>
      </c>
      <c r="G27" s="52">
        <v>-4</v>
      </c>
    </row>
    <row r="28" spans="1:7" x14ac:dyDescent="0.25">
      <c r="A28" s="51" t="s">
        <v>74</v>
      </c>
      <c r="B28" s="51" t="s">
        <v>7</v>
      </c>
      <c r="C28" s="52">
        <v>-10</v>
      </c>
      <c r="D28" s="52">
        <v>0</v>
      </c>
      <c r="E28" s="52">
        <v>0</v>
      </c>
      <c r="F28" s="52">
        <v>6</v>
      </c>
      <c r="G28" s="52">
        <v>-3.4</v>
      </c>
    </row>
    <row r="29" spans="1:7" x14ac:dyDescent="0.25">
      <c r="A29" s="53" t="s">
        <v>74</v>
      </c>
      <c r="B29" s="53" t="s">
        <v>8</v>
      </c>
      <c r="C29" s="54">
        <v>8</v>
      </c>
      <c r="D29" s="54">
        <v>0</v>
      </c>
      <c r="E29" s="54">
        <v>0</v>
      </c>
      <c r="F29" s="54">
        <v>4</v>
      </c>
      <c r="G29" s="54">
        <v>3.6</v>
      </c>
    </row>
    <row r="30" spans="1:7" x14ac:dyDescent="0.25">
      <c r="A30" s="51" t="s">
        <v>75</v>
      </c>
      <c r="B30" s="51" t="s">
        <v>65</v>
      </c>
      <c r="C30" s="52">
        <v>-2</v>
      </c>
      <c r="D30" s="52">
        <v>0</v>
      </c>
      <c r="E30" s="52">
        <v>2</v>
      </c>
      <c r="F30" s="52">
        <v>4</v>
      </c>
      <c r="G30" s="52">
        <v>0</v>
      </c>
    </row>
    <row r="31" spans="1:7" x14ac:dyDescent="0.25">
      <c r="A31" s="51" t="s">
        <v>75</v>
      </c>
      <c r="B31" s="51" t="s">
        <v>66</v>
      </c>
      <c r="C31" s="52">
        <v>8</v>
      </c>
      <c r="D31" s="52">
        <v>10</v>
      </c>
      <c r="E31" s="52">
        <v>4</v>
      </c>
      <c r="F31" s="52">
        <v>4</v>
      </c>
      <c r="G31" s="52">
        <v>7.4</v>
      </c>
    </row>
    <row r="32" spans="1:7" x14ac:dyDescent="0.25">
      <c r="A32" s="51" t="s">
        <v>75</v>
      </c>
      <c r="B32" s="51" t="s">
        <v>67</v>
      </c>
      <c r="C32" s="52">
        <v>6</v>
      </c>
      <c r="D32" s="52">
        <v>10</v>
      </c>
      <c r="E32" s="52">
        <v>0</v>
      </c>
      <c r="F32" s="52">
        <v>2</v>
      </c>
      <c r="G32" s="52">
        <v>5.6</v>
      </c>
    </row>
    <row r="33" spans="1:7" x14ac:dyDescent="0.25">
      <c r="A33" s="51" t="s">
        <v>75</v>
      </c>
      <c r="B33" s="51" t="s">
        <v>68</v>
      </c>
      <c r="C33" s="52">
        <v>-10</v>
      </c>
      <c r="D33" s="52">
        <v>4</v>
      </c>
      <c r="E33" s="52">
        <v>4</v>
      </c>
      <c r="F33" s="52">
        <v>6</v>
      </c>
      <c r="G33" s="52">
        <v>-1.4</v>
      </c>
    </row>
    <row r="34" spans="1:7" x14ac:dyDescent="0.25">
      <c r="A34" s="51" t="s">
        <v>75</v>
      </c>
      <c r="B34" s="51" t="s">
        <v>69</v>
      </c>
      <c r="C34" s="52">
        <v>-10</v>
      </c>
      <c r="D34" s="52">
        <v>8</v>
      </c>
      <c r="E34" s="52">
        <v>4</v>
      </c>
      <c r="F34" s="52">
        <v>0</v>
      </c>
      <c r="G34" s="52">
        <v>-0.8</v>
      </c>
    </row>
    <row r="35" spans="1:7" x14ac:dyDescent="0.25">
      <c r="A35" s="51" t="s">
        <v>75</v>
      </c>
      <c r="B35" s="51" t="s">
        <v>7</v>
      </c>
      <c r="C35" s="52">
        <v>-10</v>
      </c>
      <c r="D35" s="52">
        <v>2</v>
      </c>
      <c r="E35" s="52">
        <v>4</v>
      </c>
      <c r="F35" s="52">
        <v>0</v>
      </c>
      <c r="G35" s="52">
        <v>-2.6</v>
      </c>
    </row>
    <row r="36" spans="1:7" x14ac:dyDescent="0.25">
      <c r="A36" s="51" t="s">
        <v>75</v>
      </c>
      <c r="B36" s="51" t="s">
        <v>8</v>
      </c>
      <c r="C36" s="52">
        <v>4</v>
      </c>
      <c r="D36" s="52">
        <v>0</v>
      </c>
      <c r="E36" s="52">
        <v>2</v>
      </c>
      <c r="F36" s="52">
        <v>4</v>
      </c>
      <c r="G36" s="52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Parametri</vt:lpstr>
      <vt:lpstr>Dati Comparti</vt:lpstr>
      <vt:lpstr>Scoring</vt:lpstr>
      <vt:lpstr>Storico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Silvio Magurno</cp:lastModifiedBy>
  <cp:revision>0</cp:revision>
  <dcterms:created xsi:type="dcterms:W3CDTF">2026-05-30T14:19:15Z</dcterms:created>
  <dcterms:modified xsi:type="dcterms:W3CDTF">2026-10-27T09:24:20Z</dcterms:modified>
  <dc:language>en-US</dc:language>
</cp:coreProperties>
</file>