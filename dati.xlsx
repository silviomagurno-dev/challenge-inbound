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25" documentId="11_3986FFDAA71613FBBF4E0ADF7712B152860938D4" xr6:coauthVersionLast="47" xr6:coauthVersionMax="47" xr10:uidLastSave="{E36D54C5-5DAF-4063-BA06-3036A4427FFC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J10" i="2" s="1"/>
  <c r="F11" i="3" s="1"/>
  <c r="G10" i="2"/>
  <c r="E11" i="3" s="1"/>
  <c r="F10" i="2"/>
  <c r="D11" i="3" s="1"/>
  <c r="D10" i="2"/>
  <c r="C10" i="2"/>
  <c r="I9" i="2"/>
  <c r="H9" i="2"/>
  <c r="J9" i="2" s="1"/>
  <c r="F10" i="3" s="1"/>
  <c r="G9" i="2"/>
  <c r="F9" i="2"/>
  <c r="D9" i="2"/>
  <c r="C9" i="2"/>
  <c r="E9" i="2" s="1"/>
  <c r="C10" i="3" s="1"/>
  <c r="I8" i="2"/>
  <c r="H8" i="2"/>
  <c r="G8" i="2"/>
  <c r="E9" i="3" s="1"/>
  <c r="F8" i="2"/>
  <c r="D9" i="3" s="1"/>
  <c r="D8" i="2"/>
  <c r="C8" i="2"/>
  <c r="E8" i="2" s="1"/>
  <c r="C9" i="3" s="1"/>
  <c r="I7" i="2"/>
  <c r="H7" i="2"/>
  <c r="J7" i="2" s="1"/>
  <c r="F8" i="3" s="1"/>
  <c r="G7" i="2"/>
  <c r="F7" i="2"/>
  <c r="D7" i="2"/>
  <c r="C7" i="2"/>
  <c r="E7" i="2" s="1"/>
  <c r="C8" i="3" s="1"/>
  <c r="I6" i="2"/>
  <c r="H6" i="2"/>
  <c r="G6" i="2"/>
  <c r="F6" i="2"/>
  <c r="D7" i="3" s="1"/>
  <c r="D6" i="2"/>
  <c r="C6" i="2"/>
  <c r="I5" i="2"/>
  <c r="H5" i="2"/>
  <c r="J5" i="2" s="1"/>
  <c r="F6" i="3" s="1"/>
  <c r="G5" i="2"/>
  <c r="F5" i="2"/>
  <c r="D5" i="2"/>
  <c r="C5" i="2"/>
  <c r="E5" i="2" s="1"/>
  <c r="C6" i="3" s="1"/>
  <c r="I4" i="2"/>
  <c r="H4" i="2"/>
  <c r="J4" i="2" s="1"/>
  <c r="F5" i="3" s="1"/>
  <c r="G4" i="2"/>
  <c r="E5" i="3" s="1"/>
  <c r="F4" i="2"/>
  <c r="D5" i="3" s="1"/>
  <c r="D4" i="2"/>
  <c r="C4" i="2"/>
  <c r="D2" i="2"/>
  <c r="D1" i="2"/>
  <c r="E10" i="2"/>
  <c r="C11" i="3" s="1"/>
  <c r="E10" i="3"/>
  <c r="J8" i="2"/>
  <c r="F9" i="3" s="1"/>
  <c r="J6" i="2"/>
  <c r="F7" i="3" s="1"/>
  <c r="E7" i="3"/>
  <c r="E6" i="2"/>
  <c r="C7" i="3" s="1"/>
  <c r="E4" i="2"/>
  <c r="C5" i="3" s="1"/>
  <c r="C10" i="1"/>
  <c r="D10" i="3"/>
  <c r="B9" i="3"/>
  <c r="E8" i="3"/>
  <c r="D8" i="3"/>
  <c r="B8" i="3"/>
  <c r="B7" i="3"/>
  <c r="E6" i="3"/>
  <c r="D6" i="3"/>
  <c r="B6" i="3"/>
  <c r="B5" i="3"/>
  <c r="G10" i="3" l="1"/>
  <c r="G6" i="3"/>
  <c r="G8" i="3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<sst xmlns="http://schemas.openxmlformats.org/spreadsheetml/2006/main" count="127" uniqueCount="74">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</sst>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46264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0.79688980789771113</v>
          </cell>
          <cell r="G4">
            <v>0.64516129032258063</v>
          </cell>
          <cell r="H4">
            <v>1.362570165323184E-3</v>
          </cell>
          <cell r="I4">
            <v>232.07216445995408</v>
          </cell>
          <cell r="J4">
            <v>221.06500269348177</v>
          </cell>
        </row>
        <row r="5">
          <cell r="B5" t="str">
            <v>Editoria</v>
          </cell>
          <cell r="D5">
            <v>0.76087748780872522</v>
          </cell>
          <cell r="E5">
            <v>0.75379315377491096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296.64554483642451</v>
          </cell>
        </row>
        <row r="6">
          <cell r="B6" t="str">
            <v>Gori</v>
          </cell>
          <cell r="D6">
            <v>0.7887875467257508</v>
          </cell>
          <cell r="E6">
            <v>0.87697950993898988</v>
          </cell>
          <cell r="G6">
            <v>0.97098172923692694</v>
          </cell>
          <cell r="H6">
            <v>1.0981729236926974E-2</v>
          </cell>
          <cell r="I6">
            <v>218.70039150583702</v>
          </cell>
          <cell r="J6">
            <v>223.49683206106872</v>
          </cell>
        </row>
        <row r="7">
          <cell r="B7" t="str">
            <v>Idrico</v>
          </cell>
          <cell r="D7">
            <v>0.61747392211126917</v>
          </cell>
          <cell r="E7">
            <v>0.60949386082725154</v>
          </cell>
          <cell r="G7">
            <v>0.625</v>
          </cell>
          <cell r="H7">
            <v>-2.3780413411657614E-2</v>
          </cell>
          <cell r="I7">
            <v>200.75789235670646</v>
          </cell>
          <cell r="J7">
            <v>198.29874256868737</v>
          </cell>
        </row>
        <row r="8">
          <cell r="B8" t="str">
            <v>Igiene Ambientale</v>
          </cell>
          <cell r="D8">
            <v>0.63270000000000004</v>
          </cell>
          <cell r="E8">
            <v>0.49784268050635339</v>
          </cell>
          <cell r="G8">
            <v>0.5</v>
          </cell>
          <cell r="H8">
            <v>-1.4493853854232396E-2</v>
          </cell>
          <cell r="I8">
            <v>146.53039613498757</v>
          </cell>
          <cell r="J8">
            <v>261.18732932823593</v>
          </cell>
        </row>
        <row r="9">
          <cell r="B9" t="str">
            <v>ITS</v>
          </cell>
          <cell r="D9">
            <v>0.67570553852501991</v>
          </cell>
          <cell r="E9">
            <v>0.51322949005364515</v>
          </cell>
          <cell r="G9">
            <v>0.75</v>
          </cell>
          <cell r="H9">
            <v>1.4147998146011699E-2</v>
          </cell>
          <cell r="I9">
            <v>149.81253801090318</v>
          </cell>
          <cell r="J9">
            <v>137.2729340409401</v>
          </cell>
        </row>
        <row r="10">
          <cell r="B10" t="str">
            <v>Medicale</v>
          </cell>
          <cell r="D10">
            <v>0.650183652995457</v>
          </cell>
          <cell r="E10">
            <v>0.76921669265352666</v>
          </cell>
          <cell r="G10">
            <v>0.44736842105263158</v>
          </cell>
          <cell r="H10">
            <v>-7.2713550278350348E-4</v>
          </cell>
          <cell r="I10">
            <v>184.92501485879896</v>
          </cell>
          <cell r="J10">
            <v>192.30308157099697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7" sqref="D1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46235</v>
      </c>
    </row>
    <row r="2" spans="2:10" x14ac:dyDescent="0.25">
      <c r="C2" s="47" t="s">
        <v>56</v>
      </c>
      <c r="D2" s="48">
        <f>'[1]Riepilogo mese per Commessa'!$D$1-1</f>
        <v>46263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0.79688980789771113</v>
      </c>
      <c r="E4" s="34">
        <f t="shared" ref="E4:E10" si="0">IF(C4=0,"",IF(D4="","",(D4-C4)))</f>
        <v>0.1469607327725686</v>
      </c>
      <c r="F4" s="35">
        <f>INDEX([1]dati_comparti!G:G,MATCH($B4,[1]dati_comparti!$B:$B,0))</f>
        <v>0.64516129032258063</v>
      </c>
      <c r="G4" s="36">
        <f>INDEX([1]dati_comparti!H:H,MATCH($B4,[1]dati_comparti!$B:$B,0))</f>
        <v>1.362570165323184E-3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221.06500269348177</v>
      </c>
      <c r="J4" s="34">
        <f t="shared" ref="J4:J10" si="1">IF(H4=0,"",IF(I4="","",(I4-H4)/H4))</f>
        <v>-4.7429909537348595E-2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0.75379315377491096</v>
      </c>
      <c r="E5" s="39">
        <f t="shared" si="0"/>
        <v>-7.0843340338142546E-3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296.64554483642451</v>
      </c>
      <c r="J5" s="39">
        <f t="shared" si="1"/>
        <v>0.18247619707834356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0.87697950993898988</v>
      </c>
      <c r="E6" s="34">
        <f t="shared" si="0"/>
        <v>8.8191963213239077E-2</v>
      </c>
      <c r="F6" s="35">
        <f>INDEX([1]dati_comparti!G:G,MATCH($B6,[1]dati_comparti!$B:$B,0))</f>
        <v>0.97098172923692694</v>
      </c>
      <c r="G6" s="36">
        <f>INDEX([1]dati_comparti!H:H,MATCH($B6,[1]dati_comparti!$B:$B,0))</f>
        <v>1.0981729236926974E-2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223.49683206106872</v>
      </c>
      <c r="J6" s="34">
        <f t="shared" si="1"/>
        <v>2.1931559071322847E-2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0.60949386082725154</v>
      </c>
      <c r="E7" s="39">
        <f t="shared" si="0"/>
        <v>-7.9800612840176255E-3</v>
      </c>
      <c r="F7" s="35">
        <f>INDEX([1]dati_comparti!G:G,MATCH($B7,[1]dati_comparti!$B:$B,0))</f>
        <v>0.625</v>
      </c>
      <c r="G7" s="36">
        <f>INDEX([1]dati_comparti!H:H,MATCH($B7,[1]dati_comparti!$B:$B,0))</f>
        <v>-2.3780413411657614E-2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198.29874256868737</v>
      </c>
      <c r="J7" s="39">
        <f t="shared" si="1"/>
        <v>-1.224933057002648E-2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0.49784268050635339</v>
      </c>
      <c r="E8" s="34">
        <f t="shared" si="0"/>
        <v>-0.13485731949364665</v>
      </c>
      <c r="F8" s="35">
        <f>INDEX([1]dati_comparti!G:G,MATCH($B8,[1]dati_comparti!$B:$B,0))</f>
        <v>0.5</v>
      </c>
      <c r="G8" s="36">
        <f>INDEX([1]dati_comparti!H:H,MATCH($B8,[1]dati_comparti!$B:$B,0))</f>
        <v>-1.4493853854232396E-2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261.18732932823593</v>
      </c>
      <c r="J8" s="34">
        <f t="shared" si="1"/>
        <v>0.7824788318160516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0.51322949005364515</v>
      </c>
      <c r="E9" s="39">
        <f t="shared" si="0"/>
        <v>-0.16247604847137476</v>
      </c>
      <c r="F9" s="35">
        <f>INDEX([1]dati_comparti!G:G,MATCH($B9,[1]dati_comparti!$B:$B,0))</f>
        <v>0.75</v>
      </c>
      <c r="G9" s="36">
        <f>INDEX([1]dati_comparti!H:H,MATCH($B9,[1]dati_comparti!$B:$B,0))</f>
        <v>1.4147998146011699E-2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137.2729340409401</v>
      </c>
      <c r="J9" s="39">
        <f t="shared" si="1"/>
        <v>-8.3701966046730109E-2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0.76921669265352666</v>
      </c>
      <c r="E10" s="34">
        <f t="shared" si="0"/>
        <v>0.11903303965806966</v>
      </c>
      <c r="F10" s="35">
        <f>INDEX([1]dati_comparti!G:G,MATCH($B10,[1]dati_comparti!$B:$B,0))</f>
        <v>0.44736842105263158</v>
      </c>
      <c r="G10" s="36">
        <f>INDEX([1]dati_comparti!H:H,MATCH($B10,[1]dati_comparti!$B:$B,0))</f>
        <v>-7.2713550278350348E-4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192.30308157099697</v>
      </c>
      <c r="J10" s="34">
        <f t="shared" si="1"/>
        <v>3.989761319111744E-2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L17" sqref="L1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-2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3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7.4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-0.2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4.4000000000000004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Gori</v>
      </c>
      <c r="D15" s="56"/>
      <c r="E15" s="56"/>
      <c r="F15" s="56"/>
      <c r="G15" s="1">
        <f>IFERROR(LARGE(Scoring!G5:G11,1),"")</f>
        <v>7.4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4.5999999999999996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4.4000000000000004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Editoria</v>
      </c>
      <c r="D18" s="56"/>
      <c r="E18" s="56"/>
      <c r="F18" s="56"/>
      <c r="G18" s="4">
        <f>IFERROR(LARGE(Scoring!G5:G11,4),"")</f>
        <v>3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-0.2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L23" sqref="L23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-2</v>
      </c>
      <c r="D17" s="52">
        <v>10</v>
      </c>
      <c r="E17" s="52">
        <v>4</v>
      </c>
      <c r="F17" s="52">
        <v>0</v>
      </c>
      <c r="G17" s="52">
        <v>3</v>
      </c>
    </row>
    <row r="18" spans="1:7" x14ac:dyDescent="0.25">
      <c r="A18" s="51" t="s">
        <v>73</v>
      </c>
      <c r="B18" s="51" t="s">
        <v>67</v>
      </c>
      <c r="C18" s="52">
        <v>10</v>
      </c>
      <c r="D18" s="52">
        <v>10</v>
      </c>
      <c r="E18" s="52">
        <v>0</v>
      </c>
      <c r="F18" s="52">
        <v>4</v>
      </c>
      <c r="G18" s="52">
        <v>7.4</v>
      </c>
    </row>
    <row r="19" spans="1:7" x14ac:dyDescent="0.25">
      <c r="A19" s="51" t="s">
        <v>73</v>
      </c>
      <c r="B19" s="51" t="s">
        <v>68</v>
      </c>
      <c r="C19" s="52">
        <v>-2</v>
      </c>
      <c r="D19" s="52">
        <v>0</v>
      </c>
      <c r="E19" s="52">
        <v>0</v>
      </c>
      <c r="F19" s="52">
        <v>6</v>
      </c>
      <c r="G19" s="52">
        <v>-0.2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4</v>
      </c>
      <c r="G22" s="52">
        <v>4.4000000000000004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2026-08-31T11:12:55Z</dcterms:modified>
  <dc:language>en-US</dc:language>
</cp:coreProperties>
</file>