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6" documentId="11_3986FFDAA71613FBBF4E0ADF7712B152860938D4" xr6:coauthVersionLast="47" xr6:coauthVersionMax="47" xr10:uidLastSave="{BB304AE1-355A-4844-9A9B-56A687F65D85}"/>
  <bookViews>
    <workbookView xWindow="-108" yWindow="-108" windowWidth="23256" windowHeight="13896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F10" i="2"/>
  <c r="D11" i="3" s="1"/>
  <c r="D10" i="2"/>
  <c r="C10" i="2"/>
  <c r="I9" i="2"/>
  <c r="H9" i="2"/>
  <c r="J9" i="2" s="1"/>
  <c r="F10" i="3" s="1"/>
  <c r="G9" i="2"/>
  <c r="F9" i="2"/>
  <c r="D9" i="2"/>
  <c r="C9" i="2"/>
  <c r="E9" i="2" s="1"/>
  <c r="C10" i="3" s="1"/>
  <c r="G10" i="3" s="1"/>
  <c r="I8" i="2"/>
  <c r="H8" i="2"/>
  <c r="G8" i="2"/>
  <c r="F8" i="2"/>
  <c r="D9" i="3" s="1"/>
  <c r="D8" i="2"/>
  <c r="C8" i="2"/>
  <c r="I7" i="2"/>
  <c r="H7" i="2"/>
  <c r="J7" i="2" s="1"/>
  <c r="F8" i="3" s="1"/>
  <c r="G7" i="2"/>
  <c r="F7" i="2"/>
  <c r="D7" i="2"/>
  <c r="C7" i="2"/>
  <c r="E7" i="2" s="1"/>
  <c r="C8" i="3" s="1"/>
  <c r="G8" i="3" s="1"/>
  <c r="I6" i="2"/>
  <c r="H6" i="2"/>
  <c r="G6" i="2"/>
  <c r="F6" i="2"/>
  <c r="D6" i="2"/>
  <c r="C6" i="2"/>
  <c r="I5" i="2"/>
  <c r="H5" i="2"/>
  <c r="J5" i="2" s="1"/>
  <c r="F6" i="3" s="1"/>
  <c r="G5" i="2"/>
  <c r="F5" i="2"/>
  <c r="D5" i="2"/>
  <c r="C5" i="2"/>
  <c r="E5" i="2" s="1"/>
  <c r="C6" i="3" s="1"/>
  <c r="G6" i="3" s="1"/>
  <c r="I4" i="2"/>
  <c r="H4" i="2"/>
  <c r="G4" i="2"/>
  <c r="F4" i="2"/>
  <c r="D5" i="3" s="1"/>
  <c r="D4" i="2"/>
  <c r="C4" i="2"/>
  <c r="D2" i="2"/>
  <c r="D1" i="2"/>
  <c r="J10" i="2"/>
  <c r="F11" i="3" s="1"/>
  <c r="E10" i="2"/>
  <c r="C11" i="3" s="1"/>
  <c r="E10" i="3"/>
  <c r="J8" i="2"/>
  <c r="F9" i="3" s="1"/>
  <c r="E9" i="3"/>
  <c r="E8" i="2"/>
  <c r="C9" i="3" s="1"/>
  <c r="J6" i="2"/>
  <c r="F7" i="3" s="1"/>
  <c r="E7" i="3"/>
  <c r="E6" i="2"/>
  <c r="C7" i="3" s="1"/>
  <c r="J4" i="2"/>
  <c r="F5" i="3" s="1"/>
  <c r="E5" i="3"/>
  <c r="E4" i="2"/>
  <c r="C5" i="3" s="1"/>
  <c r="C10" i="1"/>
  <c r="E11" i="3"/>
  <c r="D10" i="3"/>
  <c r="B9" i="3"/>
  <c r="E8" i="3"/>
  <c r="D8" i="3"/>
  <c r="B8" i="3"/>
  <c r="D7" i="3"/>
  <c r="B7" i="3"/>
  <c r="E6" i="3"/>
  <c r="D6" i="3"/>
  <c r="B6" i="3"/>
  <c r="B5" i="3"/>
  <c r="G11" i="3" l="1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<sst xmlns="http://schemas.openxmlformats.org/spreadsheetml/2006/main" count="127" uniqueCount="74">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</sst>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46244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0.86899050100283048</v>
          </cell>
          <cell r="G4">
            <v>0.53333333333333333</v>
          </cell>
          <cell r="H4">
            <v>-3.3796156183765171E-2</v>
          </cell>
          <cell r="I4">
            <v>232.07216445995408</v>
          </cell>
          <cell r="J4">
            <v>220.71247436136491</v>
          </cell>
        </row>
        <row r="5">
          <cell r="B5" t="str">
            <v>Editoria</v>
          </cell>
          <cell r="D5">
            <v>0.76087748780872522</v>
          </cell>
          <cell r="E5">
            <v>0.89382430001142776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304.39368474662592</v>
          </cell>
        </row>
        <row r="6">
          <cell r="B6" t="str">
            <v>Gori</v>
          </cell>
          <cell r="D6">
            <v>0.7887875467257508</v>
          </cell>
          <cell r="E6">
            <v>1.0921435016397814</v>
          </cell>
          <cell r="G6">
            <v>0.97463768115942029</v>
          </cell>
          <cell r="H6">
            <v>1.4637681159420324E-2</v>
          </cell>
          <cell r="I6">
            <v>218.70039150583702</v>
          </cell>
          <cell r="J6">
            <v>224.67750929368029</v>
          </cell>
        </row>
        <row r="7">
          <cell r="B7" t="str">
            <v>Idrico</v>
          </cell>
          <cell r="D7">
            <v>0.61747392211126917</v>
          </cell>
          <cell r="E7">
            <v>0.65799697583622063</v>
          </cell>
          <cell r="G7">
            <v>0.48214285714285715</v>
          </cell>
          <cell r="H7">
            <v>-5.9696272323367293E-2</v>
          </cell>
          <cell r="I7">
            <v>200.75789235670646</v>
          </cell>
          <cell r="J7">
            <v>193.61581454121307</v>
          </cell>
        </row>
        <row r="8">
          <cell r="B8" t="str">
            <v>Igiene Ambientale</v>
          </cell>
          <cell r="D8">
            <v>0.63270000000000004</v>
          </cell>
          <cell r="E8">
            <v>0.46901751304228245</v>
          </cell>
          <cell r="G8">
            <v>0.3125</v>
          </cell>
          <cell r="H8">
            <v>-5.7467116796869694E-2</v>
          </cell>
          <cell r="I8">
            <v>146.53039613498757</v>
          </cell>
          <cell r="J8">
            <v>250.88470588235293</v>
          </cell>
        </row>
        <row r="9">
          <cell r="B9" t="str">
            <v>ITS</v>
          </cell>
          <cell r="D9">
            <v>0.67570553852501991</v>
          </cell>
          <cell r="E9">
            <v>0.47854522084832635</v>
          </cell>
          <cell r="G9">
            <v>0.75</v>
          </cell>
          <cell r="H9">
            <v>1.1361136265038253E-2</v>
          </cell>
          <cell r="I9">
            <v>149.81253801090318</v>
          </cell>
          <cell r="J9">
            <v>141.72474747474749</v>
          </cell>
        </row>
        <row r="10">
          <cell r="B10" t="str">
            <v>Medicale</v>
          </cell>
          <cell r="D10">
            <v>0.650183652995457</v>
          </cell>
          <cell r="E10">
            <v>0.80676622784243623</v>
          </cell>
          <cell r="G10">
            <v>0.3611111111111111</v>
          </cell>
          <cell r="H10">
            <v>-1.1831147902635845E-2</v>
          </cell>
          <cell r="I10">
            <v>184.92501485879896</v>
          </cell>
          <cell r="J10">
            <v>201.43980181668044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6640625" defaultRowHeight="14.4" x14ac:dyDescent="0.3"/>
  <cols>
    <col min="1" max="1" width="2" style="5" customWidth="1"/>
    <col min="2" max="2" width="19.44140625" style="5" bestFit="1" customWidth="1"/>
    <col min="3" max="3" width="18.109375" style="5" bestFit="1" customWidth="1"/>
    <col min="4" max="4" width="40.109375" style="5" bestFit="1" customWidth="1"/>
    <col min="5" max="5" width="2" style="5" customWidth="1"/>
    <col min="6" max="6" width="8.6640625" style="5" customWidth="1"/>
    <col min="7" max="16384" width="8.6640625" style="5"/>
  </cols>
  <sheetData>
    <row r="1" spans="2:4" ht="6" customHeight="1" x14ac:dyDescent="0.3"/>
    <row r="2" spans="2:4" ht="18.75" customHeight="1" x14ac:dyDescent="0.3">
      <c r="B2" s="53" t="s">
        <v>21</v>
      </c>
      <c r="C2" s="54"/>
      <c r="D2" s="54"/>
    </row>
    <row r="3" spans="2:4" ht="6" customHeight="1" x14ac:dyDescent="0.3"/>
    <row r="4" spans="2:4" x14ac:dyDescent="0.3">
      <c r="B4" s="66" t="s">
        <v>22</v>
      </c>
      <c r="C4" s="54"/>
      <c r="D4" s="54"/>
    </row>
    <row r="5" spans="2:4" x14ac:dyDescent="0.3">
      <c r="B5" s="14" t="s">
        <v>23</v>
      </c>
      <c r="C5" s="14" t="s">
        <v>24</v>
      </c>
      <c r="D5" s="14" t="s">
        <v>25</v>
      </c>
    </row>
    <row r="6" spans="2:4" x14ac:dyDescent="0.3">
      <c r="B6" s="15" t="s">
        <v>26</v>
      </c>
      <c r="C6" s="6">
        <v>0.4</v>
      </c>
      <c r="D6" s="16" t="s">
        <v>27</v>
      </c>
    </row>
    <row r="7" spans="2:4" x14ac:dyDescent="0.3">
      <c r="B7" s="17" t="s">
        <v>28</v>
      </c>
      <c r="C7" s="7">
        <v>0.3</v>
      </c>
      <c r="D7" s="16" t="s">
        <v>29</v>
      </c>
    </row>
    <row r="8" spans="2:4" x14ac:dyDescent="0.3">
      <c r="B8" s="18" t="s">
        <v>30</v>
      </c>
      <c r="C8" s="8">
        <v>0.2</v>
      </c>
      <c r="D8" s="16" t="s">
        <v>31</v>
      </c>
    </row>
    <row r="9" spans="2:4" x14ac:dyDescent="0.3">
      <c r="B9" s="19" t="s">
        <v>32</v>
      </c>
      <c r="C9" s="9">
        <v>0.1</v>
      </c>
      <c r="D9" s="16" t="s">
        <v>33</v>
      </c>
    </row>
    <row r="10" spans="2:4" x14ac:dyDescent="0.3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3"/>
    <row r="12" spans="2:4" x14ac:dyDescent="0.3">
      <c r="B12" s="67" t="s">
        <v>36</v>
      </c>
      <c r="C12" s="54"/>
      <c r="D12" s="54"/>
    </row>
    <row r="13" spans="2:4" x14ac:dyDescent="0.3">
      <c r="B13" s="14" t="s">
        <v>37</v>
      </c>
      <c r="C13" s="14" t="s">
        <v>38</v>
      </c>
      <c r="D13" s="14" t="s">
        <v>39</v>
      </c>
    </row>
    <row r="14" spans="2:4" x14ac:dyDescent="0.3">
      <c r="B14" s="21" t="s">
        <v>40</v>
      </c>
      <c r="C14" s="22"/>
      <c r="D14" s="11">
        <v>10</v>
      </c>
    </row>
    <row r="15" spans="2:4" x14ac:dyDescent="0.3">
      <c r="B15" s="23">
        <v>0.06</v>
      </c>
      <c r="C15" s="23">
        <v>7.9899999999999999E-2</v>
      </c>
      <c r="D15" s="11">
        <v>8</v>
      </c>
    </row>
    <row r="16" spans="2:4" x14ac:dyDescent="0.3">
      <c r="B16" s="23">
        <v>0.04</v>
      </c>
      <c r="C16" s="23">
        <v>5.9900000000000002E-2</v>
      </c>
      <c r="D16" s="11">
        <v>6</v>
      </c>
    </row>
    <row r="17" spans="2:4" x14ac:dyDescent="0.3">
      <c r="B17" s="23">
        <v>0.02</v>
      </c>
      <c r="C17" s="23">
        <v>3.9899999999999998E-2</v>
      </c>
      <c r="D17" s="11">
        <v>4</v>
      </c>
    </row>
    <row r="18" spans="2:4" x14ac:dyDescent="0.3">
      <c r="B18" s="23">
        <v>0</v>
      </c>
      <c r="C18" s="23">
        <v>1.9900000000000001E-2</v>
      </c>
      <c r="D18" s="11">
        <v>2</v>
      </c>
    </row>
    <row r="19" spans="2:4" x14ac:dyDescent="0.3">
      <c r="B19" s="24">
        <v>-1.9E-2</v>
      </c>
      <c r="C19" s="24">
        <v>-1E-3</v>
      </c>
      <c r="D19" s="12">
        <v>-2</v>
      </c>
    </row>
    <row r="20" spans="2:4" x14ac:dyDescent="0.3">
      <c r="B20" s="24">
        <v>-3.9E-2</v>
      </c>
      <c r="C20" s="24">
        <v>-0.02</v>
      </c>
      <c r="D20" s="12">
        <v>-5</v>
      </c>
    </row>
    <row r="21" spans="2:4" x14ac:dyDescent="0.3">
      <c r="B21" s="24" t="s">
        <v>41</v>
      </c>
      <c r="C21" s="24">
        <v>-0.04</v>
      </c>
      <c r="D21" s="12">
        <v>-10</v>
      </c>
    </row>
    <row r="22" spans="2:4" ht="6" customHeight="1" x14ac:dyDescent="0.3"/>
    <row r="23" spans="2:4" x14ac:dyDescent="0.3">
      <c r="B23" s="63" t="s">
        <v>42</v>
      </c>
      <c r="C23" s="54"/>
      <c r="D23" s="54"/>
    </row>
    <row r="24" spans="2:4" x14ac:dyDescent="0.3">
      <c r="B24" s="14" t="s">
        <v>43</v>
      </c>
      <c r="C24" s="14" t="s">
        <v>44</v>
      </c>
      <c r="D24" s="14" t="s">
        <v>39</v>
      </c>
    </row>
    <row r="25" spans="2:4" x14ac:dyDescent="0.3">
      <c r="B25" s="21" t="s">
        <v>45</v>
      </c>
      <c r="C25" s="21" t="s">
        <v>46</v>
      </c>
      <c r="D25" s="11">
        <v>10</v>
      </c>
    </row>
    <row r="26" spans="2:4" x14ac:dyDescent="0.3">
      <c r="B26" s="23">
        <v>0.9</v>
      </c>
      <c r="C26" s="23">
        <v>0.94989999999999997</v>
      </c>
      <c r="D26" s="11">
        <v>8</v>
      </c>
    </row>
    <row r="27" spans="2:4" x14ac:dyDescent="0.3">
      <c r="B27" s="23">
        <v>0.85</v>
      </c>
      <c r="C27" s="23">
        <v>0.89990000000000003</v>
      </c>
      <c r="D27" s="11">
        <v>6</v>
      </c>
    </row>
    <row r="28" spans="2:4" x14ac:dyDescent="0.3">
      <c r="B28" s="25">
        <v>0.8</v>
      </c>
      <c r="C28" s="25">
        <v>0.84989999999999999</v>
      </c>
      <c r="D28" s="13">
        <v>4</v>
      </c>
    </row>
    <row r="29" spans="2:4" x14ac:dyDescent="0.3">
      <c r="B29" s="25">
        <v>0.7</v>
      </c>
      <c r="C29" s="25">
        <v>0.79990000000000006</v>
      </c>
      <c r="D29" s="13">
        <v>2</v>
      </c>
    </row>
    <row r="30" spans="2:4" x14ac:dyDescent="0.3">
      <c r="B30" s="26"/>
      <c r="C30" s="24">
        <v>0.69989999999999997</v>
      </c>
      <c r="D30" s="12">
        <v>0</v>
      </c>
    </row>
    <row r="31" spans="2:4" ht="6" customHeight="1" x14ac:dyDescent="0.3"/>
    <row r="32" spans="2:4" x14ac:dyDescent="0.3">
      <c r="B32" s="65" t="s">
        <v>47</v>
      </c>
      <c r="C32" s="54"/>
      <c r="D32" s="54"/>
    </row>
    <row r="33" spans="2:4" x14ac:dyDescent="0.3">
      <c r="B33" s="14" t="s">
        <v>48</v>
      </c>
      <c r="C33" s="14" t="s">
        <v>49</v>
      </c>
      <c r="D33" s="14" t="s">
        <v>39</v>
      </c>
    </row>
    <row r="34" spans="2:4" x14ac:dyDescent="0.3">
      <c r="B34" s="21" t="s">
        <v>50</v>
      </c>
      <c r="C34" s="22"/>
      <c r="D34" s="11">
        <v>10</v>
      </c>
    </row>
    <row r="35" spans="2:4" x14ac:dyDescent="0.3">
      <c r="B35" s="23">
        <v>8.1000000000000003E-2</v>
      </c>
      <c r="C35" s="23">
        <v>0.12</v>
      </c>
      <c r="D35" s="11">
        <v>8</v>
      </c>
    </row>
    <row r="36" spans="2:4" x14ac:dyDescent="0.3">
      <c r="B36" s="23">
        <v>5.0999999999999997E-2</v>
      </c>
      <c r="C36" s="23">
        <v>0.08</v>
      </c>
      <c r="D36" s="11">
        <v>6</v>
      </c>
    </row>
    <row r="37" spans="2:4" x14ac:dyDescent="0.3">
      <c r="B37" s="25">
        <v>3.1E-2</v>
      </c>
      <c r="C37" s="25">
        <v>0.05</v>
      </c>
      <c r="D37" s="13">
        <v>4</v>
      </c>
    </row>
    <row r="38" spans="2:4" x14ac:dyDescent="0.3">
      <c r="B38" s="25">
        <v>1.0999999999999999E-2</v>
      </c>
      <c r="C38" s="25">
        <v>0.03</v>
      </c>
      <c r="D38" s="13">
        <v>2</v>
      </c>
    </row>
    <row r="39" spans="2:4" x14ac:dyDescent="0.3">
      <c r="B39" s="24" t="s">
        <v>51</v>
      </c>
      <c r="C39" s="24">
        <v>0.01</v>
      </c>
      <c r="D39" s="12">
        <v>0</v>
      </c>
    </row>
    <row r="40" spans="2:4" ht="6" customHeight="1" x14ac:dyDescent="0.3"/>
    <row r="41" spans="2:4" x14ac:dyDescent="0.3">
      <c r="B41" s="64" t="s">
        <v>52</v>
      </c>
      <c r="C41" s="54"/>
      <c r="D41" s="54"/>
    </row>
    <row r="42" spans="2:4" x14ac:dyDescent="0.3">
      <c r="B42" s="14" t="s">
        <v>37</v>
      </c>
      <c r="C42" s="14" t="s">
        <v>38</v>
      </c>
      <c r="D42" s="14" t="s">
        <v>39</v>
      </c>
    </row>
    <row r="43" spans="2:4" x14ac:dyDescent="0.3">
      <c r="B43" s="21" t="s">
        <v>53</v>
      </c>
      <c r="C43" s="23">
        <v>-0.1</v>
      </c>
      <c r="D43" s="11">
        <v>10</v>
      </c>
    </row>
    <row r="44" spans="2:4" x14ac:dyDescent="0.3">
      <c r="B44" s="23">
        <v>-9.9000000000000005E-2</v>
      </c>
      <c r="C44" s="23">
        <v>-0.05</v>
      </c>
      <c r="D44" s="11">
        <v>8</v>
      </c>
    </row>
    <row r="45" spans="2:4" x14ac:dyDescent="0.3">
      <c r="B45" s="23">
        <v>-4.9000000000000002E-2</v>
      </c>
      <c r="C45" s="23">
        <v>-1E-3</v>
      </c>
      <c r="D45" s="11">
        <v>6</v>
      </c>
    </row>
    <row r="46" spans="2:4" x14ac:dyDescent="0.3">
      <c r="B46" s="25">
        <v>0</v>
      </c>
      <c r="C46" s="25">
        <v>4.9000000000000002E-2</v>
      </c>
      <c r="D46" s="13">
        <v>4</v>
      </c>
    </row>
    <row r="47" spans="2:4" x14ac:dyDescent="0.3">
      <c r="B47" s="25">
        <v>0.05</v>
      </c>
      <c r="C47" s="25">
        <v>9.9000000000000005E-2</v>
      </c>
      <c r="D47" s="13">
        <v>2</v>
      </c>
    </row>
    <row r="48" spans="2:4" x14ac:dyDescent="0.3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60" zoomScaleNormal="160" workbookViewId="0">
      <selection activeCell="C5" sqref="C5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6640625" style="5" customWidth="1"/>
    <col min="13" max="16384" width="8.6640625" style="5"/>
  </cols>
  <sheetData>
    <row r="1" spans="2:10" x14ac:dyDescent="0.3">
      <c r="C1" s="47" t="s">
        <v>55</v>
      </c>
      <c r="D1" s="49">
        <f>'[1]db iniziale'!$B$1</f>
        <v>46235</v>
      </c>
    </row>
    <row r="2" spans="2:10" x14ac:dyDescent="0.3">
      <c r="C2" s="47" t="s">
        <v>56</v>
      </c>
      <c r="D2" s="48">
        <f>'[1]Riepilogo mese per Commessa'!$D$1-1</f>
        <v>46243</v>
      </c>
    </row>
    <row r="3" spans="2:10" ht="30" customHeight="1" x14ac:dyDescent="0.3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3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0.86899050100283048</v>
      </c>
      <c r="E4" s="34">
        <f t="shared" ref="E4:E10" si="0">IF(C4=0,"",IF(D4="","",(D4-C4)))</f>
        <v>0.21906142587768795</v>
      </c>
      <c r="F4" s="35">
        <f>INDEX([1]dati_comparti!G:G,MATCH($B4,[1]dati_comparti!$B:$B,0))</f>
        <v>0.53333333333333333</v>
      </c>
      <c r="G4" s="36">
        <f>INDEX([1]dati_comparti!H:H,MATCH($B4,[1]dati_comparti!$B:$B,0))</f>
        <v>-3.3796156183765171E-2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220.71247436136491</v>
      </c>
      <c r="J4" s="34">
        <f t="shared" ref="J4:J10" si="1">IF(H4=0,"",IF(I4="","",(I4-H4)/H4))</f>
        <v>-4.8948955705324905E-2</v>
      </c>
    </row>
    <row r="5" spans="2:10" x14ac:dyDescent="0.3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0.89382430001142776</v>
      </c>
      <c r="E5" s="39">
        <f t="shared" si="0"/>
        <v>0.13294681220270255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304.39368474662592</v>
      </c>
      <c r="J5" s="39">
        <f t="shared" si="1"/>
        <v>0.21336151180807594</v>
      </c>
    </row>
    <row r="6" spans="2:10" x14ac:dyDescent="0.3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1.0921435016397814</v>
      </c>
      <c r="E6" s="34">
        <f t="shared" si="0"/>
        <v>0.30335595491403056</v>
      </c>
      <c r="F6" s="35">
        <f>INDEX([1]dati_comparti!G:G,MATCH($B6,[1]dati_comparti!$B:$B,0))</f>
        <v>0.97463768115942029</v>
      </c>
      <c r="G6" s="36">
        <f>INDEX([1]dati_comparti!H:H,MATCH($B6,[1]dati_comparti!$B:$B,0))</f>
        <v>1.4637681159420324E-2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224.67750929368029</v>
      </c>
      <c r="J6" s="34">
        <f t="shared" si="1"/>
        <v>2.7330165011084321E-2</v>
      </c>
    </row>
    <row r="7" spans="2:10" x14ac:dyDescent="0.3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0.65799697583622063</v>
      </c>
      <c r="E7" s="39">
        <f t="shared" si="0"/>
        <v>4.0523053724951463E-2</v>
      </c>
      <c r="F7" s="35">
        <f>INDEX([1]dati_comparti!G:G,MATCH($B7,[1]dati_comparti!$B:$B,0))</f>
        <v>0.48214285714285715</v>
      </c>
      <c r="G7" s="36">
        <f>INDEX([1]dati_comparti!H:H,MATCH($B7,[1]dati_comparti!$B:$B,0))</f>
        <v>-5.9696272323367293E-2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193.61581454121307</v>
      </c>
      <c r="J7" s="39">
        <f t="shared" si="1"/>
        <v>-3.5575576788798698E-2</v>
      </c>
    </row>
    <row r="8" spans="2:10" x14ac:dyDescent="0.3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0.46901751304228245</v>
      </c>
      <c r="E8" s="34">
        <f t="shared" si="0"/>
        <v>-0.16368248695771759</v>
      </c>
      <c r="F8" s="35">
        <f>INDEX([1]dati_comparti!G:G,MATCH($B8,[1]dati_comparti!$B:$B,0))</f>
        <v>0.3125</v>
      </c>
      <c r="G8" s="36">
        <f>INDEX([1]dati_comparti!H:H,MATCH($B8,[1]dati_comparti!$B:$B,0))</f>
        <v>-5.7467116796869694E-2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250.88470588235293</v>
      </c>
      <c r="J8" s="34">
        <f t="shared" si="1"/>
        <v>0.71216834527104866</v>
      </c>
    </row>
    <row r="9" spans="2:10" x14ac:dyDescent="0.3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0.47854522084832635</v>
      </c>
      <c r="E9" s="39">
        <f t="shared" si="0"/>
        <v>-0.19716031767669356</v>
      </c>
      <c r="F9" s="35">
        <f>INDEX([1]dati_comparti!G:G,MATCH($B9,[1]dati_comparti!$B:$B,0))</f>
        <v>0.75</v>
      </c>
      <c r="G9" s="36">
        <f>INDEX([1]dati_comparti!H:H,MATCH($B9,[1]dati_comparti!$B:$B,0))</f>
        <v>1.1361136265038253E-2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141.72474747474749</v>
      </c>
      <c r="J9" s="39">
        <f t="shared" si="1"/>
        <v>-5.3986072484581191E-2</v>
      </c>
    </row>
    <row r="10" spans="2:10" x14ac:dyDescent="0.3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0.80676622784243623</v>
      </c>
      <c r="E10" s="34">
        <f t="shared" si="0"/>
        <v>0.15658257484697924</v>
      </c>
      <c r="F10" s="35">
        <f>INDEX([1]dati_comparti!G:G,MATCH($B10,[1]dati_comparti!$B:$B,0))</f>
        <v>0.3611111111111111</v>
      </c>
      <c r="G10" s="36">
        <f>INDEX([1]dati_comparti!H:H,MATCH($B10,[1]dati_comparti!$B:$B,0))</f>
        <v>-1.1831147902635845E-2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201.43980181668044</v>
      </c>
      <c r="J10" s="34">
        <f t="shared" si="1"/>
        <v>8.9305316376432284E-2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6640625" style="5" customWidth="1"/>
    <col min="10" max="16384" width="8.6640625" style="5"/>
  </cols>
  <sheetData>
    <row r="2" spans="2:7" ht="18.75" customHeight="1" x14ac:dyDescent="0.3">
      <c r="B2" s="53" t="s">
        <v>0</v>
      </c>
      <c r="C2" s="54"/>
      <c r="D2" s="54"/>
      <c r="E2" s="54"/>
      <c r="F2" s="54"/>
      <c r="G2" s="54"/>
    </row>
    <row r="4" spans="2:7" ht="30" customHeight="1" x14ac:dyDescent="0.3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3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3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7.8</v>
      </c>
    </row>
    <row r="7" spans="2:7" x14ac:dyDescent="0.3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7.8</v>
      </c>
    </row>
    <row r="8" spans="2:7" x14ac:dyDescent="0.3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6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3</v>
      </c>
    </row>
    <row r="9" spans="2:7" x14ac:dyDescent="0.3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3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3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4.2</v>
      </c>
    </row>
    <row r="13" spans="2:7" x14ac:dyDescent="0.3">
      <c r="B13" s="60" t="s">
        <v>9</v>
      </c>
      <c r="C13" s="54"/>
      <c r="D13" s="54"/>
      <c r="E13" s="54"/>
      <c r="F13" s="54"/>
      <c r="G13" s="54"/>
    </row>
    <row r="14" spans="2:7" x14ac:dyDescent="0.3">
      <c r="B14" s="14" t="s">
        <v>10</v>
      </c>
      <c r="C14" s="61" t="s">
        <v>11</v>
      </c>
      <c r="D14" s="54"/>
      <c r="E14" s="54"/>
      <c r="F14" s="62"/>
      <c r="G14" s="14" t="s">
        <v>12</v>
      </c>
    </row>
    <row r="15" spans="2:7" x14ac:dyDescent="0.3">
      <c r="B15" s="44" t="s">
        <v>13</v>
      </c>
      <c r="C15" s="59" t="str">
        <f>IFERROR(INDEX(Scoring!B5:B11,MATCH(LARGE(Scoring!G5:G11,1),Scoring!G5:G11,0)),"")</f>
        <v>Editoria</v>
      </c>
      <c r="D15" s="54"/>
      <c r="E15" s="54"/>
      <c r="F15" s="54"/>
      <c r="G15" s="1">
        <f>IFERROR(LARGE(Scoring!G5:G11,1),"")</f>
        <v>7.8</v>
      </c>
    </row>
    <row r="16" spans="2:7" x14ac:dyDescent="0.3">
      <c r="B16" s="45" t="s">
        <v>14</v>
      </c>
      <c r="C16" s="58" t="str">
        <f>IFERROR(INDEX(Scoring!B5:B11,MATCH(LARGE(Scoring!G5:G11,2),Scoring!G5:G11,0)),"")</f>
        <v>Editoria</v>
      </c>
      <c r="D16" s="54"/>
      <c r="E16" s="54"/>
      <c r="F16" s="54"/>
      <c r="G16" s="2">
        <f>IFERROR(LARGE(Scoring!G5:G11,2),"")</f>
        <v>7.8</v>
      </c>
    </row>
    <row r="17" spans="2:7" x14ac:dyDescent="0.3">
      <c r="B17" s="46" t="s">
        <v>15</v>
      </c>
      <c r="C17" s="56" t="str">
        <f>IFERROR(INDEX(Scoring!B5:B11,MATCH(LARGE(Scoring!G5:G11,3),Scoring!G5:G11,0)),"")</f>
        <v>Centro Servizi</v>
      </c>
      <c r="D17" s="54"/>
      <c r="E17" s="54"/>
      <c r="F17" s="54"/>
      <c r="G17" s="3">
        <f>IFERROR(LARGE(Scoring!G5:G11,3),"")</f>
        <v>4.5999999999999996</v>
      </c>
    </row>
    <row r="18" spans="2:7" x14ac:dyDescent="0.3">
      <c r="B18" s="14" t="s">
        <v>16</v>
      </c>
      <c r="C18" s="55" t="str">
        <f>IFERROR(INDEX(Scoring!B5:B11,MATCH(LARGE(Scoring!G5:G11,4),Scoring!G5:G11,0)),"")</f>
        <v>Medicale</v>
      </c>
      <c r="D18" s="54"/>
      <c r="E18" s="54"/>
      <c r="F18" s="54"/>
      <c r="G18" s="4">
        <f>IFERROR(LARGE(Scoring!G5:G11,4),"")</f>
        <v>4.2</v>
      </c>
    </row>
    <row r="19" spans="2:7" x14ac:dyDescent="0.3">
      <c r="B19" s="14" t="s">
        <v>17</v>
      </c>
      <c r="C19" s="55" t="str">
        <f>IFERROR(INDEX(Scoring!B5:B11,MATCH(LARGE(Scoring!G5:G11,5),Scoring!G5:G11,0)),"")</f>
        <v>Idrico</v>
      </c>
      <c r="D19" s="54"/>
      <c r="E19" s="54"/>
      <c r="F19" s="54"/>
      <c r="G19" s="4">
        <f>IFERROR(LARGE(Scoring!G5:G11,5),"")</f>
        <v>3</v>
      </c>
    </row>
    <row r="20" spans="2:7" x14ac:dyDescent="0.3">
      <c r="B20" s="14" t="s">
        <v>18</v>
      </c>
      <c r="C20" s="55" t="str">
        <f>IFERROR(INDEX(Scoring!B5:B11,MATCH(LARGE(Scoring!G5:G11,6),Scoring!G5:G11,0)),"")</f>
        <v>ITS</v>
      </c>
      <c r="D20" s="54"/>
      <c r="E20" s="54"/>
      <c r="F20" s="54"/>
      <c r="G20" s="4">
        <f>IFERROR(LARGE(Scoring!G5:G11,6),"")</f>
        <v>-2.2000000000000002</v>
      </c>
    </row>
    <row r="21" spans="2:7" x14ac:dyDescent="0.3">
      <c r="B21" s="14" t="s">
        <v>19</v>
      </c>
      <c r="C21" s="55" t="str">
        <f>IFERROR(INDEX(Scoring!B5:B11,MATCH(LARGE(Scoring!G5:G11,7),Scoring!G5:G11,0)),"")</f>
        <v>Igiene Ambientale</v>
      </c>
      <c r="D21" s="54"/>
      <c r="E21" s="54"/>
      <c r="F21" s="54"/>
      <c r="G21" s="4">
        <f>IFERROR(LARGE(Scoring!G5:G11,7),"")</f>
        <v>-4</v>
      </c>
    </row>
    <row r="23" spans="2:7" x14ac:dyDescent="0.3">
      <c r="B23" s="57" t="s">
        <v>20</v>
      </c>
      <c r="C23" s="54"/>
      <c r="D23" s="54"/>
      <c r="E23" s="54"/>
      <c r="F23" s="54"/>
      <c r="G23" s="54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I13" sqref="I13"/>
    </sheetView>
  </sheetViews>
  <sheetFormatPr defaultRowHeight="14.4" x14ac:dyDescent="0.3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3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3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3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3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3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3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3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3">
      <c r="A8" s="68" t="s">
        <v>71</v>
      </c>
      <c r="B8" s="68" t="s">
        <v>8</v>
      </c>
      <c r="C8" s="69">
        <v>6</v>
      </c>
      <c r="D8" s="69">
        <v>0</v>
      </c>
      <c r="E8" s="69">
        <v>0</v>
      </c>
      <c r="F8" s="69">
        <v>4</v>
      </c>
      <c r="G8" s="69">
        <v>2.8</v>
      </c>
    </row>
    <row r="9" spans="1:7" x14ac:dyDescent="0.3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3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3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3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3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3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3">
      <c r="A15" s="68" t="s">
        <v>72</v>
      </c>
      <c r="B15" s="68" t="s">
        <v>8</v>
      </c>
      <c r="C15" s="69">
        <v>6</v>
      </c>
      <c r="D15" s="69">
        <v>0</v>
      </c>
      <c r="E15" s="69">
        <v>0</v>
      </c>
      <c r="F15" s="69">
        <v>2</v>
      </c>
      <c r="G15" s="69">
        <v>2.6</v>
      </c>
    </row>
    <row r="16" spans="1:7" x14ac:dyDescent="0.3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3">
      <c r="A17" s="51" t="s">
        <v>73</v>
      </c>
      <c r="B17" s="51" t="s">
        <v>66</v>
      </c>
      <c r="C17" s="52">
        <v>10</v>
      </c>
      <c r="D17" s="52">
        <v>10</v>
      </c>
      <c r="E17" s="52">
        <v>4</v>
      </c>
      <c r="F17" s="52">
        <v>0</v>
      </c>
      <c r="G17" s="52">
        <v>7.8</v>
      </c>
    </row>
    <row r="18" spans="1:7" x14ac:dyDescent="0.3">
      <c r="A18" s="51" t="s">
        <v>73</v>
      </c>
      <c r="B18" s="51" t="s">
        <v>67</v>
      </c>
      <c r="C18" s="52">
        <v>10</v>
      </c>
      <c r="D18" s="52">
        <v>10</v>
      </c>
      <c r="E18" s="52">
        <v>2</v>
      </c>
      <c r="F18" s="52">
        <v>4</v>
      </c>
      <c r="G18" s="52">
        <v>7.8</v>
      </c>
    </row>
    <row r="19" spans="1:7" x14ac:dyDescent="0.3">
      <c r="A19" s="51" t="s">
        <v>73</v>
      </c>
      <c r="B19" s="51" t="s">
        <v>68</v>
      </c>
      <c r="C19" s="52">
        <v>6</v>
      </c>
      <c r="D19" s="52">
        <v>0</v>
      </c>
      <c r="E19" s="52">
        <v>0</v>
      </c>
      <c r="F19" s="52">
        <v>6</v>
      </c>
      <c r="G19" s="52">
        <v>3</v>
      </c>
    </row>
    <row r="20" spans="1:7" x14ac:dyDescent="0.3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3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3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2</v>
      </c>
      <c r="G22" s="52">
        <v>4.2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2026-08-11T10:35:05Z</dcterms:modified>
  <dc:language>en-US</dc:language>
</cp:coreProperties>
</file>