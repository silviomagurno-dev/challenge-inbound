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59" documentId="11_3986FFDAA71613FBBF4E0ADF7712B152860938D4" xr6:coauthVersionLast="47" xr6:coauthVersionMax="47" xr10:uidLastSave="{FDBC7BA6-06B9-4F50-BD5E-0F66A174D026}"/>
  <bookViews>
    <workbookView xWindow="-120" yWindow="-120" windowWidth="29040" windowHeight="15720" tabRatio="810" activeTab="3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C10" i="2"/>
  <c r="H9" i="2"/>
  <c r="G9" i="2"/>
  <c r="F9" i="2"/>
  <c r="C9" i="2"/>
  <c r="H8" i="2"/>
  <c r="G8" i="2"/>
  <c r="F8" i="2"/>
  <c r="C8" i="2"/>
  <c r="H7" i="2"/>
  <c r="G7" i="2"/>
  <c r="F7" i="2"/>
  <c r="C7" i="2"/>
  <c r="H6" i="2"/>
  <c r="C6" i="2"/>
  <c r="H5" i="2"/>
  <c r="G5" i="2"/>
  <c r="F5" i="2"/>
  <c r="C5" i="2"/>
  <c r="H4" i="2"/>
  <c r="G4" i="2"/>
  <c r="F4" i="2"/>
  <c r="C4" i="2"/>
  <c r="D1" i="2"/>
  <c r="E11" i="3" l="1"/>
  <c r="D11" i="3"/>
  <c r="E10" i="3"/>
  <c r="E9" i="3"/>
  <c r="D9" i="3"/>
  <c r="D8" i="3"/>
  <c r="E6" i="3"/>
  <c r="D6" i="3"/>
  <c r="E5" i="3"/>
  <c r="D5" i="3"/>
  <c r="C10" i="1"/>
  <c r="D10" i="3"/>
  <c r="B9" i="3"/>
  <c r="E8" i="3"/>
  <c r="B8" i="3"/>
  <c r="B7" i="3"/>
  <c r="B6" i="3"/>
  <c r="B5" i="3"/>
  <c r="D2" i="2" l="1"/>
  <c r="F6" i="2" l="1"/>
  <c r="D7" i="3" s="1"/>
  <c r="G6" i="2"/>
  <c r="E7" i="3" s="1"/>
  <c r="I6" i="2" l="1"/>
  <c r="J6" i="2" s="1"/>
  <c r="F7" i="3" s="1"/>
  <c r="D6" i="2" l="1"/>
  <c r="E6" i="2" s="1"/>
  <c r="C7" i="3" s="1"/>
  <c r="G7" i="3" s="1"/>
  <c r="I10" i="2" l="1"/>
  <c r="J10" i="2" s="1"/>
  <c r="F11" i="3" s="1"/>
  <c r="I7" i="2"/>
  <c r="J7" i="2" s="1"/>
  <c r="F8" i="3" s="1"/>
  <c r="I5" i="2"/>
  <c r="J5" i="2" s="1"/>
  <c r="F6" i="3" s="1"/>
  <c r="I8" i="2"/>
  <c r="J8" i="2" s="1"/>
  <c r="F9" i="3" s="1"/>
  <c r="I4" i="2"/>
  <c r="J4" i="2" s="1"/>
  <c r="F5" i="3" s="1"/>
  <c r="I9" i="2"/>
  <c r="J9" i="2" s="1"/>
  <c r="F10" i="3" s="1"/>
  <c r="D5" i="2" l="1"/>
  <c r="E5" i="2" s="1"/>
  <c r="C6" i="3" s="1"/>
  <c r="G6" i="3" s="1"/>
  <c r="D9" i="2" l="1"/>
  <c r="E9" i="2" s="1"/>
  <c r="C10" i="3" s="1"/>
  <c r="G10" i="3" s="1"/>
  <c r="D10" i="2" l="1"/>
  <c r="E10" i="2" s="1"/>
  <c r="C11" i="3" s="1"/>
  <c r="G11" i="3" s="1"/>
  <c r="D8" i="2" l="1"/>
  <c r="E8" i="2" s="1"/>
  <c r="C9" i="3" s="1"/>
  <c r="G9" i="3" s="1"/>
  <c r="D7" i="2"/>
  <c r="E7" i="2" s="1"/>
  <c r="C8" i="3" s="1"/>
  <c r="G8" i="3" s="1"/>
  <c r="D4" i="2" l="1"/>
  <c r="E4" i="2" s="1"/>
  <c r="C5" i="3" s="1"/>
  <c r="G5" i="3" s="1"/>
  <c r="C16" i="3" l="1"/>
  <c r="C21" i="3"/>
  <c r="C20" i="3"/>
  <c r="C18" i="3"/>
  <c r="G18" i="3"/>
  <c r="C15" i="3"/>
  <c r="G20" i="3"/>
  <c r="G17" i="3"/>
  <c r="C17" i="3"/>
  <c r="C19" i="3"/>
  <c r="G15" i="3"/>
  <c r="G21" i="3"/>
  <c r="G19" i="3"/>
  <c r="G16" i="3"/>
</calcChain>
</file>

<file path=xl/sharedStrings.xml><?xml version="1.0" encoding="utf-8"?>
<sst xmlns="http://schemas.openxmlformats.org/spreadsheetml/2006/main" count="155" uniqueCount="76">
  <si>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</si>
  <si>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</si>
  <si>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</si>
  <si>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</si>
  <si>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</si>
  <si>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</si>
  <si>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</si>
  <si>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</si>
  <si>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</si>
  <si>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</si>
  <si>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</si>
  <si>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</si>
  <si>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</si>
  <si>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</si>
  <si>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</si>
  <si>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</si>
  <si>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</si>
  <si>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</si>
  <si>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</si>
  <si>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</si>
  <si>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</si>
  <si>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</si>
  <si>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</si>
  <si>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</si>
  <si>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</si>
  <si>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</si>
  <si>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</si>
  <si>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</si>
  <si>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</si>
  <si>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</si>
  <si>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</si>
  <si>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</si>
  <si>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</si>
  <si>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</si>
  <si>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</si>
  <si>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</si>
  <si>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</si>
  <si>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</si>
  <si>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</si>
  <si>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</si>
  <si>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</si>
  <si>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</si>
  <si>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</si>
  <si>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</si>
  <si>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</si>
  <si>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</si>
  <si>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</si>
  <si>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</si>
  <si>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</si>
  <si>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</si>
  <si>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</si>
  <si>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</si>
  <si>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</si>
  <si>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</si>
  <si>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</si>
  <si>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</si>
  <si>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</si>
  <si>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</si>
  <si>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</si>
  <si>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</si>
  <si>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</si>
  <si>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</si>
  <si>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</si>
  <si>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</si>
  <si>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</si>
  <si>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</si>
  <si>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</si>
  <si>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</si>
  <si>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</si>
  <si>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</si>
  <si>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</si>
  <si>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</si>
  <si>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</si>
  <si>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</si>
  <si>
    <t>2026-09</t>
  </si>
  <si>
    <t>2026-10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</si>
</sst>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  <family val="2"/>
    </font>
    <font>
      <sz val="11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10_Calcolo%20produttivit&#224;%20inbound%20ottobre%202026%20ok.xlsx" TargetMode="External"/><Relationship Id="rId1" Type="http://schemas.openxmlformats.org/officeDocument/2006/relationships/externalLinkPath" Target="file:///P:\!%20Planning%20&amp;%20Control%20!\Analisi%20produttivit&#224;\Base%20dati\1.%20Chiamate%20inbound\2026\10_Calcolo%20produttivit&#224;%20inbound%20ottobre%202026%20o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1">
          <cell r="D1">
            <v>46309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>
        <row r="2">
          <cell r="B2" t="str">
            <v>CHIAVE</v>
          </cell>
          <cell r="D2" t="str">
            <v>PRODUTTIVITÀ</v>
          </cell>
          <cell r="G2" t="str">
            <v>IUQ</v>
          </cell>
          <cell r="H2" t="str">
            <v>LDS</v>
          </cell>
          <cell r="I2" t="str">
            <v>TMG</v>
          </cell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0.62389457922256319</v>
          </cell>
          <cell r="G4">
            <v>0.71186440677966101</v>
          </cell>
          <cell r="H4">
            <v>2.363848587107439E-2</v>
          </cell>
          <cell r="I4">
            <v>232.07216445995408</v>
          </cell>
          <cell r="J4">
            <v>239.48593565773959</v>
          </cell>
        </row>
        <row r="5">
          <cell r="B5" t="str">
            <v>Editoria</v>
          </cell>
          <cell r="D5">
            <v>0.76087748780872522</v>
          </cell>
          <cell r="E5">
            <v>0.85336206965098793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263.94881472652628</v>
          </cell>
        </row>
        <row r="6">
          <cell r="B6" t="str">
            <v>Gori</v>
          </cell>
          <cell r="D6">
            <v>0.7887875467257508</v>
          </cell>
          <cell r="E6">
            <v>0.8191076312525456</v>
          </cell>
          <cell r="G6">
            <v>0.96459712843375078</v>
          </cell>
          <cell r="H6">
            <v>4.5971284337508189E-3</v>
          </cell>
          <cell r="I6">
            <v>218.70039150583702</v>
          </cell>
          <cell r="J6">
            <v>229.65819343437775</v>
          </cell>
        </row>
        <row r="7">
          <cell r="B7" t="str">
            <v>Idrico</v>
          </cell>
          <cell r="D7">
            <v>0.61747392211126917</v>
          </cell>
          <cell r="E7">
            <v>0.57110872407662172</v>
          </cell>
          <cell r="G7">
            <v>0.85185185185185186</v>
          </cell>
          <cell r="H7">
            <v>4.594592248977749E-2</v>
          </cell>
          <cell r="I7">
            <v>200.75789235670646</v>
          </cell>
          <cell r="J7">
            <v>193.4576189403931</v>
          </cell>
        </row>
        <row r="8">
          <cell r="B8" t="str">
            <v>Igiene Ambientale</v>
          </cell>
          <cell r="D8">
            <v>0.63270000000000004</v>
          </cell>
          <cell r="E8">
            <v>0.34890915043045129</v>
          </cell>
          <cell r="G8">
            <v>0.88235294117647056</v>
          </cell>
          <cell r="H8">
            <v>3.9257936255110218E-2</v>
          </cell>
          <cell r="I8">
            <v>146.53039613498757</v>
          </cell>
          <cell r="J8">
            <v>206.27206771463119</v>
          </cell>
        </row>
        <row r="9">
          <cell r="B9" t="str">
            <v>ITS</v>
          </cell>
          <cell r="D9">
            <v>0.67570553852501991</v>
          </cell>
          <cell r="E9">
            <v>0.4897538403635317</v>
          </cell>
          <cell r="G9">
            <v>0.625</v>
          </cell>
          <cell r="H9">
            <v>1.2578277345227257E-2</v>
          </cell>
          <cell r="I9">
            <v>149.81253801090318</v>
          </cell>
          <cell r="J9">
            <v>170.47017766497461</v>
          </cell>
        </row>
        <row r="10">
          <cell r="B10" t="str">
            <v>Medicale</v>
          </cell>
          <cell r="D10">
            <v>0.650183652995457</v>
          </cell>
          <cell r="E10">
            <v>0.68084549135326389</v>
          </cell>
          <cell r="G10">
            <v>0.69444444444444442</v>
          </cell>
          <cell r="H10">
            <v>3.2655195397068307E-2</v>
          </cell>
          <cell r="I10">
            <v>184.92501485879896</v>
          </cell>
          <cell r="J10">
            <v>189.49806697198596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" sqref="D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46296</v>
      </c>
    </row>
    <row r="2" spans="2:10" x14ac:dyDescent="0.25">
      <c r="C2" s="47" t="s">
        <v>56</v>
      </c>
      <c r="D2" s="48">
        <f ca="1">'[1]Riepilogo mese per Commessa'!$D$1</f>
        <v>46309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 ca="1">INDEX([1]dati_comparti!E:E,MATCH($B4,[1]dati_comparti!$B:$B,0))</f>
        <v>0.62389457922256319</v>
      </c>
      <c r="E4" s="34">
        <f t="shared" ref="E4:E10" ca="1" si="0">IF(C4=0,"",IF(D4="","",(D4-C4)))</f>
        <v>-2.6034495902579335E-2</v>
      </c>
      <c r="F4" s="35">
        <f>INDEX([1]dati_comparti!G:G,MATCH($B4,[1]dati_comparti!$B:$B,0))</f>
        <v>0.71186440677966101</v>
      </c>
      <c r="G4" s="36">
        <f>INDEX([1]dati_comparti!H:H,MATCH($B4,[1]dati_comparti!$B:$B,0))</f>
        <v>2.363848587107439E-2</v>
      </c>
      <c r="H4" s="37">
        <f>INDEX([1]dati_comparti!I:I,MATCH($B4,[1]dati_comparti!$B:$B,0))</f>
        <v>232.07216445995408</v>
      </c>
      <c r="I4" s="37">
        <f ca="1">INDEX([1]dati_comparti!J:J,MATCH($B4,[1]dati_comparti!$B:$B,0))</f>
        <v>239.48593565773959</v>
      </c>
      <c r="J4" s="34">
        <f t="shared" ref="J4:J10" ca="1" si="1">IF(H4=0,"",IF(I4="","",(I4-H4)/H4))</f>
        <v>3.1945973421835402E-2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 ca="1">INDEX([1]dati_comparti!E:E,MATCH($B5,[1]dati_comparti!$B:$B,0))</f>
        <v>0.85336206965098793</v>
      </c>
      <c r="E5" s="39">
        <f t="shared" ca="1" si="0"/>
        <v>9.2484581842262714E-2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 ca="1">INDEX([1]dati_comparti!J:J,MATCH($B5,[1]dati_comparti!$B:$B,0))</f>
        <v>263.94881472652628</v>
      </c>
      <c r="J5" s="39">
        <f t="shared" ca="1" si="1"/>
        <v>5.2141844345795593E-2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 ca="1">INDEX([1]dati_comparti!E:E,MATCH($B6,[1]dati_comparti!$B:$B,0))</f>
        <v>0.8191076312525456</v>
      </c>
      <c r="E6" s="34">
        <f t="shared" ca="1" si="0"/>
        <v>3.0320084526794799E-2</v>
      </c>
      <c r="F6" s="35">
        <f ca="1">INDEX([1]dati_comparti!G:G,MATCH($B6,[1]dati_comparti!$B:$B,0))</f>
        <v>0.96459712843375078</v>
      </c>
      <c r="G6" s="36">
        <f ca="1">INDEX([1]dati_comparti!H:H,MATCH($B6,[1]dati_comparti!$B:$B,0))</f>
        <v>4.5971284337508189E-3</v>
      </c>
      <c r="H6" s="37">
        <f>INDEX([1]dati_comparti!I:I,MATCH($B6,[1]dati_comparti!$B:$B,0))</f>
        <v>218.70039150583702</v>
      </c>
      <c r="I6" s="37">
        <f ca="1">INDEX([1]dati_comparti!J:J,MATCH($B6,[1]dati_comparti!$B:$B,0))</f>
        <v>229.65819343437775</v>
      </c>
      <c r="J6" s="34">
        <f t="shared" ca="1" si="1"/>
        <v>5.0104171524760502E-2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 ca="1">INDEX([1]dati_comparti!E:E,MATCH($B7,[1]dati_comparti!$B:$B,0))</f>
        <v>0.57110872407662172</v>
      </c>
      <c r="E7" s="39">
        <f t="shared" ca="1" si="0"/>
        <v>-4.6365198034647448E-2</v>
      </c>
      <c r="F7" s="35">
        <f>INDEX([1]dati_comparti!G:G,MATCH($B7,[1]dati_comparti!$B:$B,0))</f>
        <v>0.85185185185185186</v>
      </c>
      <c r="G7" s="36">
        <f>INDEX([1]dati_comparti!H:H,MATCH($B7,[1]dati_comparti!$B:$B,0))</f>
        <v>4.594592248977749E-2</v>
      </c>
      <c r="H7" s="37">
        <f>INDEX([1]dati_comparti!I:I,MATCH($B7,[1]dati_comparti!$B:$B,0))</f>
        <v>200.75789235670646</v>
      </c>
      <c r="I7" s="37">
        <f ca="1">INDEX([1]dati_comparti!J:J,MATCH($B7,[1]dati_comparti!$B:$B,0))</f>
        <v>193.4576189403931</v>
      </c>
      <c r="J7" s="39">
        <f t="shared" ca="1" si="1"/>
        <v>-3.6363568727560858E-2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 ca="1">INDEX([1]dati_comparti!E:E,MATCH($B8,[1]dati_comparti!$B:$B,0))</f>
        <v>0.34890915043045129</v>
      </c>
      <c r="E8" s="34">
        <f t="shared" ca="1" si="0"/>
        <v>-0.28379084956954875</v>
      </c>
      <c r="F8" s="35">
        <f>INDEX([1]dati_comparti!G:G,MATCH($B8,[1]dati_comparti!$B:$B,0))</f>
        <v>0.88235294117647056</v>
      </c>
      <c r="G8" s="36">
        <f>INDEX([1]dati_comparti!H:H,MATCH($B8,[1]dati_comparti!$B:$B,0))</f>
        <v>3.9257936255110218E-2</v>
      </c>
      <c r="H8" s="37">
        <f>INDEX([1]dati_comparti!I:I,MATCH($B8,[1]dati_comparti!$B:$B,0))</f>
        <v>146.53039613498757</v>
      </c>
      <c r="I8" s="37">
        <f ca="1">INDEX([1]dati_comparti!J:J,MATCH($B8,[1]dati_comparti!$B:$B,0))</f>
        <v>206.27206771463119</v>
      </c>
      <c r="J8" s="34">
        <f t="shared" ca="1" si="1"/>
        <v>0.40770838785290703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 ca="1">INDEX([1]dati_comparti!E:E,MATCH($B9,[1]dati_comparti!$B:$B,0))</f>
        <v>0.4897538403635317</v>
      </c>
      <c r="E9" s="39">
        <f t="shared" ca="1" si="0"/>
        <v>-0.18595169816148821</v>
      </c>
      <c r="F9" s="35">
        <f>INDEX([1]dati_comparti!G:G,MATCH($B9,[1]dati_comparti!$B:$B,0))</f>
        <v>0.625</v>
      </c>
      <c r="G9" s="36">
        <f>INDEX([1]dati_comparti!H:H,MATCH($B9,[1]dati_comparti!$B:$B,0))</f>
        <v>1.2578277345227257E-2</v>
      </c>
      <c r="H9" s="37">
        <f>INDEX([1]dati_comparti!I:I,MATCH($B9,[1]dati_comparti!$B:$B,0))</f>
        <v>149.81253801090318</v>
      </c>
      <c r="I9" s="37">
        <f ca="1">INDEX([1]dati_comparti!J:J,MATCH($B9,[1]dati_comparti!$B:$B,0))</f>
        <v>170.47017766497461</v>
      </c>
      <c r="J9" s="39">
        <f t="shared" ca="1" si="1"/>
        <v>0.1378899251581199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 ca="1">INDEX([1]dati_comparti!E:E,MATCH($B10,[1]dati_comparti!$B:$B,0))</f>
        <v>0.68084549135326389</v>
      </c>
      <c r="E10" s="34">
        <f t="shared" ca="1" si="0"/>
        <v>3.0661838357806892E-2</v>
      </c>
      <c r="F10" s="35">
        <f>INDEX([1]dati_comparti!G:G,MATCH($B10,[1]dati_comparti!$B:$B,0))</f>
        <v>0.69444444444444442</v>
      </c>
      <c r="G10" s="36">
        <f>INDEX([1]dati_comparti!H:H,MATCH($B10,[1]dati_comparti!$B:$B,0))</f>
        <v>3.2655195397068307E-2</v>
      </c>
      <c r="H10" s="37">
        <f>INDEX([1]dati_comparti!I:I,MATCH($B10,[1]dati_comparti!$B:$B,0))</f>
        <v>184.92501485879896</v>
      </c>
      <c r="I10" s="37">
        <f ca="1">INDEX([1]dati_comparti!J:J,MATCH($B10,[1]dati_comparti!$B:$B,0))</f>
        <v>189.49806697198596</v>
      </c>
      <c r="J10" s="34">
        <f t="shared" ca="1" si="1"/>
        <v>2.4729223986699668E-2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zoomScaleNormal="100" workbookViewId="0">
      <selection activeCell="C5" sqref="C5:G11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 ca="1"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-5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2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2</v>
      </c>
      <c r="F5" s="41">
        <f ca="1"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4</v>
      </c>
      <c r="G5" s="42">
        <f ca="1">IF(OR(C5="",D5="",E5="",F5=""),"",ROUND(C5*Parametri!C6+D5*Parametri!C7+E5*Parametri!C8+F5*Parametri!C9,2))</f>
        <v>-0.6</v>
      </c>
    </row>
    <row r="6" spans="2:7" x14ac:dyDescent="0.25">
      <c r="B6" s="38" t="str">
        <f>'Dati Comparti'!B5</f>
        <v>Editoria</v>
      </c>
      <c r="C6" s="43">
        <f ca="1"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10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 ca="1"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2</v>
      </c>
      <c r="G6" s="42">
        <f ca="1">IF(OR(C6="",D6="",E6="",F6=""),"",ROUND(C6*Parametri!C6+D6*Parametri!C7+E6*Parametri!C8+F6*Parametri!C9,2))</f>
        <v>8</v>
      </c>
    </row>
    <row r="7" spans="2:7" x14ac:dyDescent="0.25">
      <c r="B7" s="32" t="str">
        <f>'Dati Comparti'!B6</f>
        <v>Gori</v>
      </c>
      <c r="C7" s="41">
        <f ca="1"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4</v>
      </c>
      <c r="D7" s="41">
        <f ca="1"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 ca="1"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0</v>
      </c>
      <c r="F7" s="41">
        <f ca="1"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2</v>
      </c>
      <c r="G7" s="42">
        <f ca="1">IF(OR(C7="",D7="",E7="",F7=""),"",ROUND(C7*Parametri!C6+D7*Parametri!C7+E7*Parametri!C8+F7*Parametri!C9,2))</f>
        <v>4.8</v>
      </c>
    </row>
    <row r="8" spans="2:7" x14ac:dyDescent="0.25">
      <c r="B8" s="38" t="str">
        <f>'Dati Comparti'!B7</f>
        <v>Idrico</v>
      </c>
      <c r="C8" s="43">
        <f ca="1"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-10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6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4</v>
      </c>
      <c r="F8" s="43">
        <f ca="1"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 ca="1">IF(OR(C8="",D8="",E8="",F8=""),"",ROUND(C8*Parametri!C6+D8*Parametri!C7+E8*Parametri!C8+F8*Parametri!C9,2))</f>
        <v>-0.8</v>
      </c>
    </row>
    <row r="9" spans="2:7" x14ac:dyDescent="0.25">
      <c r="B9" s="32" t="str">
        <f>'Dati Comparti'!B8</f>
        <v>Igiene Ambientale</v>
      </c>
      <c r="C9" s="41">
        <f ca="1"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6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4</v>
      </c>
      <c r="F9" s="41">
        <f ca="1"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 ca="1">IF(OR(C9="",D9="",E9="",F9=""),"",ROUND(C9*Parametri!C6+D9*Parametri!C7+E9*Parametri!C8+F9*Parametri!C9,2))</f>
        <v>-1.4</v>
      </c>
    </row>
    <row r="10" spans="2:7" x14ac:dyDescent="0.25">
      <c r="B10" s="38" t="s">
        <v>7</v>
      </c>
      <c r="C10" s="43">
        <f ca="1"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0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 ca="1"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0</v>
      </c>
      <c r="G10" s="42">
        <f ca="1">IF(OR(C10="",D10="",E10="",F10=""),"",ROUND(C10*Parametri!C6+D10*Parametri!C7+E10*Parametri!C8+F10*Parametri!C9,2))</f>
        <v>-3.6</v>
      </c>
    </row>
    <row r="11" spans="2:7" x14ac:dyDescent="0.25">
      <c r="B11" s="32" t="s">
        <v>8</v>
      </c>
      <c r="C11" s="41">
        <f ca="1"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4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4</v>
      </c>
      <c r="F11" s="41">
        <f ca="1"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 ca="1">IF(OR(C11="",D11="",E11="",F11=""),"",ROUND(C11*Parametri!C6+D11*Parametri!C7+E11*Parametri!C8+F11*Parametri!C9,2))</f>
        <v>2.8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 ca="1">IFERROR(INDEX(Scoring!B5:B11,MATCH(LARGE(Scoring!G5:G11,1),Scoring!G5:G11,0)),"")</f>
        <v>Editoria</v>
      </c>
      <c r="D15" s="56"/>
      <c r="E15" s="56"/>
      <c r="F15" s="56"/>
      <c r="G15" s="1">
        <f ca="1">IFERROR(LARGE(Scoring!G5:G11,1),"")</f>
        <v>8</v>
      </c>
    </row>
    <row r="16" spans="2:7" x14ac:dyDescent="0.25">
      <c r="B16" s="45" t="s">
        <v>14</v>
      </c>
      <c r="C16" s="60" t="str">
        <f ca="1">IFERROR(INDEX(Scoring!B5:B11,MATCH(LARGE(Scoring!G5:G11,2),Scoring!G5:G11,0)),"")</f>
        <v>Gori</v>
      </c>
      <c r="D16" s="56"/>
      <c r="E16" s="56"/>
      <c r="F16" s="56"/>
      <c r="G16" s="2">
        <f ca="1">IFERROR(LARGE(Scoring!G5:G11,2),"")</f>
        <v>4.8</v>
      </c>
    </row>
    <row r="17" spans="2:7" x14ac:dyDescent="0.25">
      <c r="B17" s="46" t="s">
        <v>15</v>
      </c>
      <c r="C17" s="58" t="str">
        <f ca="1">IFERROR(INDEX(Scoring!B5:B11,MATCH(LARGE(Scoring!G5:G11,3),Scoring!G5:G11,0)),"")</f>
        <v>Medicale</v>
      </c>
      <c r="D17" s="56"/>
      <c r="E17" s="56"/>
      <c r="F17" s="56"/>
      <c r="G17" s="3">
        <f ca="1">IFERROR(LARGE(Scoring!G5:G11,3),"")</f>
        <v>2.8</v>
      </c>
    </row>
    <row r="18" spans="2:7" x14ac:dyDescent="0.25">
      <c r="B18" s="14" t="s">
        <v>16</v>
      </c>
      <c r="C18" s="57" t="str">
        <f ca="1">IFERROR(INDEX(Scoring!B5:B11,MATCH(LARGE(Scoring!G5:G11,4),Scoring!G5:G11,0)),"")</f>
        <v>Centro Servizi</v>
      </c>
      <c r="D18" s="56"/>
      <c r="E18" s="56"/>
      <c r="F18" s="56"/>
      <c r="G18" s="4">
        <f ca="1">IFERROR(LARGE(Scoring!G5:G11,4),"")</f>
        <v>-0.6</v>
      </c>
    </row>
    <row r="19" spans="2:7" x14ac:dyDescent="0.25">
      <c r="B19" s="14" t="s">
        <v>17</v>
      </c>
      <c r="C19" s="57" t="str">
        <f ca="1">IFERROR(INDEX(Scoring!B5:B11,MATCH(LARGE(Scoring!G5:G11,5),Scoring!G5:G11,0)),"")</f>
        <v>Idrico</v>
      </c>
      <c r="D19" s="56"/>
      <c r="E19" s="56"/>
      <c r="F19" s="56"/>
      <c r="G19" s="4">
        <f ca="1">IFERROR(LARGE(Scoring!G5:G11,5),"")</f>
        <v>-0.8</v>
      </c>
    </row>
    <row r="20" spans="2:7" x14ac:dyDescent="0.25">
      <c r="B20" s="14" t="s">
        <v>18</v>
      </c>
      <c r="C20" s="57" t="str">
        <f ca="1">IFERROR(INDEX(Scoring!B5:B11,MATCH(LARGE(Scoring!G5:G11,6),Scoring!G5:G11,0)),"")</f>
        <v>Igiene Ambientale</v>
      </c>
      <c r="D20" s="56"/>
      <c r="E20" s="56"/>
      <c r="F20" s="56"/>
      <c r="G20" s="4">
        <f ca="1">IFERROR(LARGE(Scoring!G5:G11,6),"")</f>
        <v>-1.4</v>
      </c>
    </row>
    <row r="21" spans="2:7" x14ac:dyDescent="0.25">
      <c r="B21" s="14" t="s">
        <v>19</v>
      </c>
      <c r="C21" s="57" t="str">
        <f ca="1">IFERROR(INDEX(Scoring!B5:B11,MATCH(LARGE(Scoring!G5:G11,7),Scoring!G5:G11,0)),"")</f>
        <v>ITS</v>
      </c>
      <c r="D21" s="56"/>
      <c r="E21" s="56"/>
      <c r="F21" s="56"/>
      <c r="G21" s="4">
        <f ca="1">IFERROR(LARGE(Scoring!G5:G11,7),"")</f>
        <v>-3.6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"/>
  <sheetViews>
    <sheetView tabSelected="1" zoomScale="85" zoomScaleNormal="85" workbookViewId="0">
      <pane ySplit="1" topLeftCell="A2" activePane="bottomLeft" state="frozen"/>
      <selection pane="bottomLeft" activeCell="J24" sqref="J24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6</v>
      </c>
      <c r="G16" s="52">
        <v>4.5999999999999996</v>
      </c>
    </row>
    <row r="17" spans="1:7" x14ac:dyDescent="0.25">
      <c r="A17" s="51" t="s">
        <v>73</v>
      </c>
      <c r="B17" s="51" t="s">
        <v>66</v>
      </c>
      <c r="C17" s="52">
        <v>-5</v>
      </c>
      <c r="D17" s="52">
        <v>10</v>
      </c>
      <c r="E17" s="52">
        <v>4</v>
      </c>
      <c r="F17" s="52">
        <v>0</v>
      </c>
      <c r="G17" s="52">
        <v>1.8</v>
      </c>
    </row>
    <row r="18" spans="1:7" x14ac:dyDescent="0.25">
      <c r="A18" s="51" t="s">
        <v>73</v>
      </c>
      <c r="B18" s="51" t="s">
        <v>67</v>
      </c>
      <c r="C18" s="52">
        <v>4</v>
      </c>
      <c r="D18" s="52">
        <v>10</v>
      </c>
      <c r="E18" s="52">
        <v>2</v>
      </c>
      <c r="F18" s="52">
        <v>4</v>
      </c>
      <c r="G18" s="52">
        <v>5.4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3" t="s">
        <v>73</v>
      </c>
      <c r="B22" s="53" t="s">
        <v>8</v>
      </c>
      <c r="C22" s="54">
        <v>10</v>
      </c>
      <c r="D22" s="54">
        <v>0</v>
      </c>
      <c r="E22" s="54">
        <v>0</v>
      </c>
      <c r="F22" s="54">
        <v>4</v>
      </c>
      <c r="G22" s="54">
        <v>4.4000000000000004</v>
      </c>
    </row>
    <row r="23" spans="1:7" x14ac:dyDescent="0.25">
      <c r="A23" s="51" t="s">
        <v>74</v>
      </c>
      <c r="B23" s="51" t="s">
        <v>65</v>
      </c>
      <c r="C23" s="52">
        <v>8</v>
      </c>
      <c r="D23" s="52">
        <v>0</v>
      </c>
      <c r="E23" s="52">
        <v>0</v>
      </c>
      <c r="F23" s="52">
        <v>6</v>
      </c>
      <c r="G23" s="52">
        <v>3.8</v>
      </c>
    </row>
    <row r="24" spans="1:7" x14ac:dyDescent="0.25">
      <c r="A24" s="51" t="s">
        <v>74</v>
      </c>
      <c r="B24" s="51" t="s">
        <v>66</v>
      </c>
      <c r="C24" s="52">
        <v>10</v>
      </c>
      <c r="D24" s="52">
        <v>10</v>
      </c>
      <c r="E24" s="52">
        <v>4</v>
      </c>
      <c r="F24" s="52">
        <v>2</v>
      </c>
      <c r="G24" s="52">
        <v>8</v>
      </c>
    </row>
    <row r="25" spans="1:7" x14ac:dyDescent="0.25">
      <c r="A25" s="51" t="s">
        <v>74</v>
      </c>
      <c r="B25" s="51" t="s">
        <v>67</v>
      </c>
      <c r="C25" s="52">
        <v>-2</v>
      </c>
      <c r="D25" s="52">
        <v>10</v>
      </c>
      <c r="E25" s="52">
        <v>0</v>
      </c>
      <c r="F25" s="52">
        <v>6</v>
      </c>
      <c r="G25" s="52">
        <v>2.8</v>
      </c>
    </row>
    <row r="26" spans="1:7" x14ac:dyDescent="0.25">
      <c r="A26" s="51" t="s">
        <v>74</v>
      </c>
      <c r="B26" s="51" t="s">
        <v>68</v>
      </c>
      <c r="C26" s="52">
        <v>-5</v>
      </c>
      <c r="D26" s="52">
        <v>6</v>
      </c>
      <c r="E26" s="52">
        <v>4</v>
      </c>
      <c r="F26" s="52">
        <v>8</v>
      </c>
      <c r="G26" s="52">
        <v>1.4</v>
      </c>
    </row>
    <row r="27" spans="1:7" x14ac:dyDescent="0.25">
      <c r="A27" s="51" t="s">
        <v>74</v>
      </c>
      <c r="B27" s="51" t="s">
        <v>69</v>
      </c>
      <c r="C27" s="52">
        <v>-10</v>
      </c>
      <c r="D27" s="52">
        <v>0</v>
      </c>
      <c r="E27" s="52">
        <v>0</v>
      </c>
      <c r="F27" s="52">
        <v>0</v>
      </c>
      <c r="G27" s="52">
        <v>-4</v>
      </c>
    </row>
    <row r="28" spans="1:7" x14ac:dyDescent="0.25">
      <c r="A28" s="51" t="s">
        <v>74</v>
      </c>
      <c r="B28" s="51" t="s">
        <v>7</v>
      </c>
      <c r="C28" s="52">
        <v>-10</v>
      </c>
      <c r="D28" s="52">
        <v>0</v>
      </c>
      <c r="E28" s="52">
        <v>0</v>
      </c>
      <c r="F28" s="52">
        <v>6</v>
      </c>
      <c r="G28" s="52">
        <v>-3.4</v>
      </c>
    </row>
    <row r="29" spans="1:7" x14ac:dyDescent="0.25">
      <c r="A29" s="53" t="s">
        <v>74</v>
      </c>
      <c r="B29" s="53" t="s">
        <v>8</v>
      </c>
      <c r="C29" s="54">
        <v>8</v>
      </c>
      <c r="D29" s="54">
        <v>0</v>
      </c>
      <c r="E29" s="54">
        <v>0</v>
      </c>
      <c r="F29" s="54">
        <v>4</v>
      </c>
      <c r="G29" s="54">
        <v>3.6</v>
      </c>
    </row>
    <row r="30" spans="1:7" x14ac:dyDescent="0.25">
      <c r="A30" s="51" t="s">
        <v>75</v>
      </c>
      <c r="B30" s="51" t="s">
        <v>65</v>
      </c>
      <c r="C30" s="52">
        <v>-5</v>
      </c>
      <c r="D30" s="52">
        <v>2</v>
      </c>
      <c r="E30" s="52">
        <v>2</v>
      </c>
      <c r="F30" s="52">
        <v>4</v>
      </c>
      <c r="G30" s="52">
        <v>-0.6</v>
      </c>
    </row>
    <row r="31" spans="1:7" x14ac:dyDescent="0.25">
      <c r="A31" s="51" t="s">
        <v>75</v>
      </c>
      <c r="B31" s="51" t="s">
        <v>66</v>
      </c>
      <c r="C31" s="52">
        <v>10</v>
      </c>
      <c r="D31" s="52">
        <v>10</v>
      </c>
      <c r="E31" s="52">
        <v>4</v>
      </c>
      <c r="F31" s="52">
        <v>2</v>
      </c>
      <c r="G31" s="52">
        <v>8</v>
      </c>
    </row>
    <row r="32" spans="1:7" x14ac:dyDescent="0.25">
      <c r="A32" s="51" t="s">
        <v>75</v>
      </c>
      <c r="B32" s="51" t="s">
        <v>67</v>
      </c>
      <c r="C32" s="52">
        <v>4</v>
      </c>
      <c r="D32" s="52">
        <v>10</v>
      </c>
      <c r="E32" s="52">
        <v>0</v>
      </c>
      <c r="F32" s="52">
        <v>2</v>
      </c>
      <c r="G32" s="52">
        <v>4.8</v>
      </c>
    </row>
    <row r="33" spans="1:7" x14ac:dyDescent="0.25">
      <c r="A33" s="51" t="s">
        <v>75</v>
      </c>
      <c r="B33" s="51" t="s">
        <v>68</v>
      </c>
      <c r="C33" s="52">
        <v>-10</v>
      </c>
      <c r="D33" s="52">
        <v>6</v>
      </c>
      <c r="E33" s="52">
        <v>4</v>
      </c>
      <c r="F33" s="52">
        <v>6</v>
      </c>
      <c r="G33" s="52">
        <v>-0.8</v>
      </c>
    </row>
    <row r="34" spans="1:7" x14ac:dyDescent="0.25">
      <c r="A34" s="51" t="s">
        <v>75</v>
      </c>
      <c r="B34" s="51" t="s">
        <v>69</v>
      </c>
      <c r="C34" s="52">
        <v>-10</v>
      </c>
      <c r="D34" s="52">
        <v>6</v>
      </c>
      <c r="E34" s="52">
        <v>4</v>
      </c>
      <c r="F34" s="52">
        <v>0</v>
      </c>
      <c r="G34" s="52">
        <v>-1.4</v>
      </c>
    </row>
    <row r="35" spans="1:7" x14ac:dyDescent="0.25">
      <c r="A35" s="51" t="s">
        <v>75</v>
      </c>
      <c r="B35" s="51" t="s">
        <v>7</v>
      </c>
      <c r="C35" s="52">
        <v>-10</v>
      </c>
      <c r="D35" s="52">
        <v>0</v>
      </c>
      <c r="E35" s="52">
        <v>2</v>
      </c>
      <c r="F35" s="52">
        <v>0</v>
      </c>
      <c r="G35" s="52">
        <v>-3.6</v>
      </c>
    </row>
    <row r="36" spans="1:7" x14ac:dyDescent="0.25">
      <c r="A36" s="51" t="s">
        <v>75</v>
      </c>
      <c r="B36" s="51" t="s">
        <v>8</v>
      </c>
      <c r="C36" s="52">
        <v>4</v>
      </c>
      <c r="D36" s="52">
        <v>0</v>
      </c>
      <c r="E36" s="52">
        <v>4</v>
      </c>
      <c r="F36" s="52">
        <v>4</v>
      </c>
      <c r="G36" s="52">
        <v>2.8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2026-10-15T15:18:56Z</dcterms:modified>
  <dc:language>en-US</dc:language>
</cp:coreProperties>
</file>