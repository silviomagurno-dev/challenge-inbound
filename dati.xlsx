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7" documentId="13_ncr:1_{F7652277-F0A9-49F0-AF30-18DB2B3039C1}" xr6:coauthVersionLast="47" xr6:coauthVersionMax="47" xr10:uidLastSave="{0122E4B7-0C25-407D-9EC9-4B2185250864}"/>
  <bookViews>
    <workbookView xWindow="-120" yWindow="-120" windowWidth="29040" windowHeight="17520" tabRatio="50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E11" i="3" l="1"/>
  <c r="D11" i="3"/>
  <c r="E10" i="3"/>
  <c r="D10" i="3"/>
  <c r="E9" i="3"/>
  <c r="D9" i="3"/>
  <c r="E8" i="3"/>
  <c r="D8" i="3"/>
  <c r="E6" i="3"/>
  <c r="D6" i="3"/>
  <c r="E5" i="3"/>
  <c r="D5" i="3"/>
  <c r="B9" i="3"/>
  <c r="B8" i="3"/>
  <c r="B7" i="3"/>
  <c r="B6" i="3"/>
  <c r="B5" i="3"/>
  <c r="C10" i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C15" i="3" l="1"/>
  <c r="C17" i="3"/>
  <c r="G15" i="3"/>
  <c r="C20" i="3"/>
  <c r="G20" i="3"/>
  <c r="G17" i="3"/>
  <c r="G16" i="3"/>
  <c r="C19" i="3"/>
  <c r="C21" i="3"/>
  <c r="C16" i="3"/>
  <c r="G18" i="3"/>
  <c r="C18" i="3"/>
  <c r="G21" i="3"/>
  <c r="G19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<sst xmlns="http://schemas.openxmlformats.org/spreadsheetml/2006/main" count="78" uniqueCount="70">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</sst>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46195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0.70126521782516538</v>
          </cell>
          <cell r="G4">
            <v>0.70491803278688525</v>
          </cell>
          <cell r="H4">
            <v>2.4843210488092241E-2</v>
          </cell>
          <cell r="I4">
            <v>232.07216445995408</v>
          </cell>
          <cell r="J4">
            <v>225.44881581522802</v>
          </cell>
        </row>
        <row r="5">
          <cell r="B5" t="str">
            <v>Editoria</v>
          </cell>
          <cell r="D5">
            <v>0.76087748780872522</v>
          </cell>
          <cell r="E5">
            <v>0.891002455257346</v>
          </cell>
          <cell r="G5">
            <v>1</v>
          </cell>
          <cell r="H5">
            <v>5.9753969908182894E-2</v>
          </cell>
          <cell r="I5">
            <v>250.86808983502152</v>
          </cell>
          <cell r="J5">
            <v>260.21003171619873</v>
          </cell>
        </row>
        <row r="6">
          <cell r="B6" t="str">
            <v>Gori</v>
          </cell>
          <cell r="D6">
            <v>0.7887875467257508</v>
          </cell>
          <cell r="E6">
            <v>0.75181719486380527</v>
          </cell>
          <cell r="G6">
            <v>0.9730728183236188</v>
          </cell>
          <cell r="H6">
            <v>1.307281832361884E-2</v>
          </cell>
          <cell r="I6">
            <v>218.70039150583702</v>
          </cell>
          <cell r="J6">
            <v>229.36260862228971</v>
          </cell>
        </row>
        <row r="7">
          <cell r="B7" t="str">
            <v>Idrico</v>
          </cell>
          <cell r="D7">
            <v>0.61747392211126917</v>
          </cell>
          <cell r="E7">
            <v>0.64950114461247854</v>
          </cell>
          <cell r="G7">
            <v>0.74545454545454548</v>
          </cell>
          <cell r="H7">
            <v>9.303454081803178E-3</v>
          </cell>
          <cell r="I7">
            <v>200.75789235670646</v>
          </cell>
          <cell r="J7">
            <v>194.3901045701007</v>
          </cell>
        </row>
        <row r="8">
          <cell r="B8" t="str">
            <v>Igiene Ambientale</v>
          </cell>
          <cell r="D8">
            <v>0.63270000000000004</v>
          </cell>
          <cell r="E8">
            <v>0.65215731539940824</v>
          </cell>
          <cell r="G8">
            <v>0.31578947368421051</v>
          </cell>
          <cell r="H8">
            <v>-9.0978734265627886E-2</v>
          </cell>
          <cell r="I8">
            <v>146.53039613498757</v>
          </cell>
          <cell r="J8">
            <v>131.61439954467846</v>
          </cell>
        </row>
        <row r="9">
          <cell r="B9" t="str">
            <v>ITS</v>
          </cell>
          <cell r="D9">
            <v>0.67570553852501991</v>
          </cell>
          <cell r="E9">
            <v>0.36700593669925491</v>
          </cell>
          <cell r="G9">
            <v>0.7142857142857143</v>
          </cell>
          <cell r="H9">
            <v>-4.9270230592991932E-3</v>
          </cell>
          <cell r="I9">
            <v>149.81253801090318</v>
          </cell>
          <cell r="J9">
            <v>132.86390804597701</v>
          </cell>
        </row>
        <row r="10">
          <cell r="B10" t="str">
            <v>Medicale</v>
          </cell>
          <cell r="D10">
            <v>0.650183652995457</v>
          </cell>
          <cell r="E10">
            <v>0.64779852443028507</v>
          </cell>
          <cell r="G10">
            <v>0.32432432432432434</v>
          </cell>
          <cell r="H10">
            <v>-1.2860377460777074E-2</v>
          </cell>
          <cell r="I10">
            <v>184.92501485879896</v>
          </cell>
          <cell r="J10">
            <v>187.98356807511738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H13" sqref="H13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16384" width="8.7109375" style="5"/>
  </cols>
  <sheetData>
    <row r="1" spans="2:4" ht="6" customHeight="1" x14ac:dyDescent="0.25"/>
    <row r="2" spans="2:4" ht="18.75" x14ac:dyDescent="0.25">
      <c r="B2" s="50" t="s">
        <v>0</v>
      </c>
      <c r="C2" s="51"/>
      <c r="D2" s="51"/>
    </row>
    <row r="3" spans="2:4" ht="6" customHeight="1" x14ac:dyDescent="0.25"/>
    <row r="4" spans="2:4" x14ac:dyDescent="0.25">
      <c r="B4" s="65" t="s">
        <v>1</v>
      </c>
      <c r="C4" s="53"/>
      <c r="D4" s="53"/>
    </row>
    <row r="5" spans="2:4" x14ac:dyDescent="0.25">
      <c r="B5" s="14" t="s">
        <v>2</v>
      </c>
      <c r="C5" s="14" t="s">
        <v>3</v>
      </c>
      <c r="D5" s="14" t="s">
        <v>4</v>
      </c>
    </row>
    <row r="6" spans="2:4" x14ac:dyDescent="0.25">
      <c r="B6" s="15" t="s">
        <v>5</v>
      </c>
      <c r="C6" s="6">
        <v>0.4</v>
      </c>
      <c r="D6" s="16" t="s">
        <v>6</v>
      </c>
    </row>
    <row r="7" spans="2:4" x14ac:dyDescent="0.25">
      <c r="B7" s="17" t="s">
        <v>7</v>
      </c>
      <c r="C7" s="7">
        <v>0.3</v>
      </c>
      <c r="D7" s="16" t="s">
        <v>8</v>
      </c>
    </row>
    <row r="8" spans="2:4" x14ac:dyDescent="0.25">
      <c r="B8" s="18" t="s">
        <v>9</v>
      </c>
      <c r="C8" s="8">
        <v>0.2</v>
      </c>
      <c r="D8" s="16" t="s">
        <v>10</v>
      </c>
    </row>
    <row r="9" spans="2:4" x14ac:dyDescent="0.25">
      <c r="B9" s="19" t="s">
        <v>11</v>
      </c>
      <c r="C9" s="9">
        <v>0.1</v>
      </c>
      <c r="D9" s="16" t="s">
        <v>12</v>
      </c>
    </row>
    <row r="10" spans="2:4" x14ac:dyDescent="0.25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25"/>
    <row r="12" spans="2:4" x14ac:dyDescent="0.25">
      <c r="B12" s="66" t="s">
        <v>15</v>
      </c>
      <c r="C12" s="53"/>
      <c r="D12" s="53"/>
    </row>
    <row r="13" spans="2:4" x14ac:dyDescent="0.25">
      <c r="B13" s="14" t="s">
        <v>16</v>
      </c>
      <c r="C13" s="14" t="s">
        <v>17</v>
      </c>
      <c r="D13" s="14" t="s">
        <v>18</v>
      </c>
    </row>
    <row r="14" spans="2:4" x14ac:dyDescent="0.25">
      <c r="B14" s="21" t="s">
        <v>19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20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2" t="s">
        <v>21</v>
      </c>
      <c r="C23" s="53"/>
      <c r="D23" s="53"/>
    </row>
    <row r="24" spans="2:4" x14ac:dyDescent="0.25">
      <c r="B24" s="14" t="s">
        <v>22</v>
      </c>
      <c r="C24" s="14" t="s">
        <v>23</v>
      </c>
      <c r="D24" s="14" t="s">
        <v>18</v>
      </c>
    </row>
    <row r="25" spans="2:4" x14ac:dyDescent="0.25">
      <c r="B25" s="21" t="s">
        <v>24</v>
      </c>
      <c r="C25" s="21" t="s">
        <v>25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4" t="s">
        <v>26</v>
      </c>
      <c r="C32" s="53"/>
      <c r="D32" s="53"/>
    </row>
    <row r="33" spans="2:4" x14ac:dyDescent="0.25">
      <c r="B33" s="14" t="s">
        <v>27</v>
      </c>
      <c r="C33" s="14" t="s">
        <v>28</v>
      </c>
      <c r="D33" s="14" t="s">
        <v>18</v>
      </c>
    </row>
    <row r="34" spans="2:4" x14ac:dyDescent="0.25">
      <c r="B34" s="21" t="s">
        <v>29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30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3" t="s">
        <v>31</v>
      </c>
      <c r="C41" s="53"/>
      <c r="D41" s="53"/>
    </row>
    <row r="42" spans="2:4" x14ac:dyDescent="0.25">
      <c r="B42" s="14" t="s">
        <v>16</v>
      </c>
      <c r="C42" s="14" t="s">
        <v>17</v>
      </c>
      <c r="D42" s="14" t="s">
        <v>18</v>
      </c>
    </row>
    <row r="43" spans="2:4" x14ac:dyDescent="0.25">
      <c r="B43" s="21" t="s">
        <v>32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Normal="100" workbookViewId="0">
      <selection activeCell="G3" sqref="G3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7109375" style="5"/>
  </cols>
  <sheetData>
    <row r="1" spans="2:10" x14ac:dyDescent="0.25">
      <c r="C1" s="47" t="s">
        <v>67</v>
      </c>
      <c r="D1" s="49">
        <f>'[1]db iniziale'!$B$1</f>
        <v>46174</v>
      </c>
    </row>
    <row r="2" spans="2:10" x14ac:dyDescent="0.25">
      <c r="C2" s="47" t="s">
        <v>68</v>
      </c>
      <c r="D2" s="48">
        <f>'[1]Riepilogo mese per Commessa'!$D$1</f>
        <v>46195</v>
      </c>
    </row>
    <row r="3" spans="2:10" ht="30" x14ac:dyDescent="0.25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25">
      <c r="B4" s="32" t="s">
        <v>43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0.70126521782516538</v>
      </c>
      <c r="E4" s="34">
        <f>IF(C4=0,"",IF(D4="","",(D4-C4)))</f>
        <v>5.1336142700022847E-2</v>
      </c>
      <c r="F4" s="35">
        <f>INDEX([1]dati_comparti!G:G,MATCH($B4,[1]dati_comparti!$B:$B,0))</f>
        <v>0.70491803278688525</v>
      </c>
      <c r="G4" s="36">
        <f>INDEX([1]dati_comparti!H:H,MATCH($B4,[1]dati_comparti!$B:$B,0))</f>
        <v>2.4843210488092241E-2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225.44881581522802</v>
      </c>
      <c r="J4" s="34">
        <f t="shared" ref="J4:J10" si="0">IF(H4=0,"",IF(I4="","",(I4-H4)/H4))</f>
        <v>-2.8540039087147726E-2</v>
      </c>
    </row>
    <row r="5" spans="2:10" x14ac:dyDescent="0.25">
      <c r="B5" s="38" t="s">
        <v>44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0.891002455257346</v>
      </c>
      <c r="E5" s="39">
        <f t="shared" ref="E5:E10" si="1">IF(C5=0,"",IF(D5="","",(D5-C5)))</f>
        <v>0.13012496744862079</v>
      </c>
      <c r="F5" s="35">
        <f>INDEX([1]dati_comparti!G:G,MATCH($B5,[1]dati_comparti!$B:$B,0))</f>
        <v>1</v>
      </c>
      <c r="G5" s="36">
        <f>INDEX([1]dati_comparti!H:H,MATCH($B5,[1]dati_comparti!$B:$B,0))</f>
        <v>5.9753969908182894E-2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260.21003171619873</v>
      </c>
      <c r="J5" s="39">
        <f t="shared" si="0"/>
        <v>3.7238462202668944E-2</v>
      </c>
    </row>
    <row r="6" spans="2:10" x14ac:dyDescent="0.25">
      <c r="B6" s="32" t="s">
        <v>45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0.75181719486380527</v>
      </c>
      <c r="E6" s="34">
        <f t="shared" si="1"/>
        <v>-3.6970351861945527E-2</v>
      </c>
      <c r="F6" s="35">
        <f>INDEX([1]dati_comparti!G:G,MATCH($B6,[1]dati_comparti!$B:$B,0))</f>
        <v>0.9730728183236188</v>
      </c>
      <c r="G6" s="36">
        <f>INDEX([1]dati_comparti!H:H,MATCH($B6,[1]dati_comparti!$B:$B,0))</f>
        <v>1.307281832361884E-2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229.36260862228971</v>
      </c>
      <c r="J6" s="34">
        <f t="shared" si="0"/>
        <v>4.8752620162402061E-2</v>
      </c>
    </row>
    <row r="7" spans="2:10" x14ac:dyDescent="0.25">
      <c r="B7" s="38" t="s">
        <v>46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0.64950114461247854</v>
      </c>
      <c r="E7" s="39">
        <f t="shared" si="1"/>
        <v>3.2027222501209374E-2</v>
      </c>
      <c r="F7" s="35">
        <f>INDEX([1]dati_comparti!G:G,MATCH($B7,[1]dati_comparti!$B:$B,0))</f>
        <v>0.74545454545454548</v>
      </c>
      <c r="G7" s="36">
        <f>INDEX([1]dati_comparti!H:H,MATCH($B7,[1]dati_comparti!$B:$B,0))</f>
        <v>9.303454081803178E-3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194.3901045701007</v>
      </c>
      <c r="J7" s="39">
        <f t="shared" si="0"/>
        <v>-3.1718741972502282E-2</v>
      </c>
    </row>
    <row r="8" spans="2:10" x14ac:dyDescent="0.25">
      <c r="B8" s="32" t="s">
        <v>47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0.65215731539940824</v>
      </c>
      <c r="E8" s="34">
        <f t="shared" si="1"/>
        <v>1.9457315399408204E-2</v>
      </c>
      <c r="F8" s="35">
        <f>INDEX([1]dati_comparti!G:G,MATCH($B8,[1]dati_comparti!$B:$B,0))</f>
        <v>0.31578947368421051</v>
      </c>
      <c r="G8" s="36">
        <f>INDEX([1]dati_comparti!H:H,MATCH($B8,[1]dati_comparti!$B:$B,0))</f>
        <v>-9.0978734265627886E-2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131.61439954467846</v>
      </c>
      <c r="J8" s="34">
        <f t="shared" si="0"/>
        <v>-0.10179455583105164</v>
      </c>
    </row>
    <row r="9" spans="2:10" x14ac:dyDescent="0.25">
      <c r="B9" s="38" t="s">
        <v>48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0.36700593669925491</v>
      </c>
      <c r="E9" s="39">
        <f t="shared" si="1"/>
        <v>-0.308699601825765</v>
      </c>
      <c r="F9" s="35">
        <f>INDEX([1]dati_comparti!G:G,MATCH($B9,[1]dati_comparti!$B:$B,0))</f>
        <v>0.7142857142857143</v>
      </c>
      <c r="G9" s="36">
        <f>INDEX([1]dati_comparti!H:H,MATCH($B9,[1]dati_comparti!$B:$B,0))</f>
        <v>-4.9270230592991932E-3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132.86390804597701</v>
      </c>
      <c r="J9" s="39">
        <f t="shared" si="0"/>
        <v>-0.11313225308079801</v>
      </c>
    </row>
    <row r="10" spans="2:10" x14ac:dyDescent="0.25">
      <c r="B10" s="32" t="s">
        <v>49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0.64779852443028507</v>
      </c>
      <c r="E10" s="34">
        <f t="shared" si="1"/>
        <v>-2.3851285651719234E-3</v>
      </c>
      <c r="F10" s="35">
        <f>INDEX([1]dati_comparti!G:G,MATCH($B10,[1]dati_comparti!$B:$B,0))</f>
        <v>0.32432432432432434</v>
      </c>
      <c r="G10" s="36">
        <f>INDEX([1]dati_comparti!H:H,MATCH($B10,[1]dati_comparti!$B:$B,0))</f>
        <v>-1.2860377460777074E-2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187.98356807511738</v>
      </c>
      <c r="J10" s="34">
        <f t="shared" si="0"/>
        <v>1.6539423931661162E-2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7109375" style="5"/>
  </cols>
  <sheetData>
    <row r="2" spans="2:7" ht="18.75" x14ac:dyDescent="0.25">
      <c r="B2" s="50" t="s">
        <v>69</v>
      </c>
      <c r="C2" s="51"/>
      <c r="D2" s="51"/>
      <c r="E2" s="51"/>
      <c r="F2" s="51"/>
      <c r="G2" s="51"/>
    </row>
    <row r="4" spans="2:7" ht="30" x14ac:dyDescent="0.25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25">
      <c r="B5" s="32" t="str">
        <f>'Dati Comparti'!B4</f>
        <v>Centro Servizi</v>
      </c>
      <c r="C5" s="41">
        <f>_xlfn.SINGLE(IF('Dati Comparti'!E4="","",IF('Dati Comparti'!E4&gt;=0.08,Parametri!D14,IF('Dati Comparti'!E4&lt;-0.04,Parametri!D21,_xlfn.XLOOKUP('Dati Comparti'!E4,Parametri!B15:B20,Parametri!D15:D20,,-1,1)))))</f>
        <v>6</v>
      </c>
      <c r="D5" s="41">
        <f>_xlfn.SINGLE(IF('Dati Comparti'!F4="","",IF('Dati Comparti'!F4&gt;=0.95,Parametri!D25,_xlfn.XLOOKUP('Dati Comparti'!F4,Parametri!B26:B30,Parametri!D26:D30,Parametri!D30,-1,1))))</f>
        <v>2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>_xlfn.SINGLE(IF('Dati Comparti'!J4="","",IF('Dati Comparti'!J4&lt;=-0.1,Parametri!D43,IF('Dati Comparti'!J4&gt;=0.1,Parametri!D48,_xlfn.XLOOKUP('Dati Comparti'!J4,Parametri!C44:C47,Parametri!D44:D47,,1,1)))))</f>
        <v>6</v>
      </c>
      <c r="G5" s="42">
        <f>IF(OR(C5="",D5="",E5="",F5=""),"",ROUND(C5*Parametri!C6+D5*Parametri!C7+E5*Parametri!C8+F5*Parametri!C9,2))</f>
        <v>4</v>
      </c>
    </row>
    <row r="6" spans="2:7" x14ac:dyDescent="0.25">
      <c r="B6" s="38" t="str">
        <f>'Dati Comparti'!B5</f>
        <v>Editoria</v>
      </c>
      <c r="C6" s="43">
        <f>_xlfn.SINGLE(IF('Dati Comparti'!E5="","",IF('Dati Comparti'!E5&gt;=0.08,Parametri!D14,IF('Dati Comparti'!E5&lt;-0.04,Parametri!D21,_xlfn.XLOOKUP('Dati Comparti'!E5,Parametri!B15:B20,Parametri!D15:D20,,-1,1)))))</f>
        <v>10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6</v>
      </c>
      <c r="F6" s="43">
        <f>_xlfn.SINGLE(IF('Dati Comparti'!J5="","",IF('Dati Comparti'!J5&lt;=-0.1,Parametri!D43,IF('Dati Comparti'!J5&gt;=0.1,Parametri!D48,_xlfn.XLOOKUP('Dati Comparti'!J5,Parametri!C44:C47,Parametri!D44:D47,,1,1)))))</f>
        <v>4</v>
      </c>
      <c r="G6" s="42">
        <f>IF(OR(C6="",D6="",E6="",F6=""),"",ROUND(C6*Parametri!C6+D6*Parametri!C7+E6*Parametri!C8+F6*Parametri!C9,2))</f>
        <v>8.6</v>
      </c>
    </row>
    <row r="7" spans="2:7" x14ac:dyDescent="0.25">
      <c r="B7" s="32" t="str">
        <f>'Dati Comparti'!B6</f>
        <v>Gori</v>
      </c>
      <c r="C7" s="41">
        <f>_xlfn.SINGLE(IF('Dati Comparti'!E6="","",IF('Dati Comparti'!E6&gt;=0.08,Parametri!D14,IF('Dati Comparti'!E6&lt;-0.04,Parametri!D21,_xlfn.XLOOKUP('Dati Comparti'!E6,Parametri!B15:B20,Parametri!D15:D20,,-1,1)))))</f>
        <v>-5</v>
      </c>
      <c r="D7" s="41">
        <f>_xlfn.SINGLE(IF('Dati Comparti'!F6="","",IF('Dati Comparti'!F6&gt;=0.95,Parametri!D25,_xlfn.XLOOKUP('Dati Comparti'!F6,Parametri!B26:B30,Parametri!D26:D30,Parametri!D30,-1,1))))</f>
        <v>10</v>
      </c>
      <c r="E7" s="41">
        <f>_xlfn.SINGLE(IF('Dati Comparti'!G6="","",IF('Dati Comparti'!G6&gt;0.12,Parametri!D34,_xlfn.XLOOKUP('Dati Comparti'!G6,Parametri!C35:C39,Parametri!D35:D39,Parametri!D39,1,1))))</f>
        <v>2</v>
      </c>
      <c r="F7" s="41">
        <f>_xlfn.SINGLE(IF('Dati Comparti'!J6="","",IF('Dati Comparti'!J6&lt;=-0.1,Parametri!D43,IF('Dati Comparti'!J6&gt;=0.1,Parametri!D48,_xlfn.XLOOKUP('Dati Comparti'!J6,Parametri!C44:C47,Parametri!D44:D47,,1,1)))))</f>
        <v>4</v>
      </c>
      <c r="G7" s="42">
        <f>IF(OR(C7="",D7="",E7="",F7=""),"",ROUND(C7*Parametri!C6+D7*Parametri!C7+E7*Parametri!C8+F7*Parametri!C9,2))</f>
        <v>1.8</v>
      </c>
    </row>
    <row r="8" spans="2:7" x14ac:dyDescent="0.25">
      <c r="B8" s="38" t="str">
        <f>'Dati Comparti'!B7</f>
        <v>Idrico</v>
      </c>
      <c r="C8" s="43">
        <f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>_xlfn.SINGLE(IF('Dati Comparti'!J7="","",IF('Dati Comparti'!J7&lt;=-0.1,Parametri!D43,IF('Dati Comparti'!J7&gt;=0.1,Parametri!D48,_xlfn.XLOOKUP('Dati Comparti'!J7,Parametri!C44:C47,Parametri!D44:D47,,1,1)))))</f>
        <v>6</v>
      </c>
      <c r="G8" s="42">
        <f>IF(OR(C8="",D8="",E8="",F8=""),"",ROUND(C8*Parametri!C6+D8*Parametri!C7+E8*Parametri!C8+F8*Parametri!C9,2))</f>
        <v>2.8</v>
      </c>
    </row>
    <row r="9" spans="2:7" x14ac:dyDescent="0.25">
      <c r="B9" s="32" t="str">
        <f>'Dati Comparti'!B8</f>
        <v>Igiene Ambientale</v>
      </c>
      <c r="C9" s="41">
        <f>_xlfn.SINGLE(IF('Dati Comparti'!E8="","",IF('Dati Comparti'!E8&gt;=0.08,Parametri!D14,IF('Dati Comparti'!E8&lt;-0.04,Parametri!D21,_xlfn.XLOOKUP('Dati Comparti'!E8,Parametri!B15:B20,Parametri!D15:D20,,-1,1)))))</f>
        <v>2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>_xlfn.SINGLE(IF('Dati Comparti'!J8="","",IF('Dati Comparti'!J8&lt;=-0.1,Parametri!D43,IF('Dati Comparti'!J8&gt;=0.1,Parametri!D48,_xlfn.XLOOKUP('Dati Comparti'!J8,Parametri!C44:C47,Parametri!D44:D47,,1,1)))))</f>
        <v>10</v>
      </c>
      <c r="G9" s="42">
        <f>IF(OR(C9="",D9="",E9="",F9=""),"",ROUND(C9*Parametri!C6+D9*Parametri!C7+E9*Parametri!C8+F9*Parametri!C9,2))</f>
        <v>1.8</v>
      </c>
    </row>
    <row r="10" spans="2:7" x14ac:dyDescent="0.25">
      <c r="B10" s="38" t="s">
        <v>48</v>
      </c>
      <c r="C10" s="43">
        <f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>_xlfn.SINGLE(IF('Dati Comparti'!J9="","",IF('Dati Comparti'!J9&lt;=-0.1,Parametri!D43,IF('Dati Comparti'!J9&gt;=0.1,Parametri!D48,_xlfn.XLOOKUP('Dati Comparti'!J9,Parametri!C44:C47,Parametri!D44:D47,,1,1)))))</f>
        <v>10</v>
      </c>
      <c r="G10" s="42">
        <f>IF(OR(C10="",D10="",E10="",F10=""),"",ROUND(C10*Parametri!C6+D10*Parametri!C7+E10*Parametri!C8+F10*Parametri!C9,2))</f>
        <v>-2.4</v>
      </c>
    </row>
    <row r="11" spans="2:7" x14ac:dyDescent="0.25">
      <c r="B11" s="32" t="s">
        <v>49</v>
      </c>
      <c r="C11" s="41">
        <f>_xlfn.SINGLE(IF('Dati Comparti'!E10="","",IF('Dati Comparti'!E10&gt;=0.08,Parametri!D14,IF('Dati Comparti'!E10&lt;-0.04,Parametri!D21,_xlfn.XLOOKUP('Dati Comparti'!E10,Parametri!B15:B20,Parametri!D15:D20,,-1,1)))))</f>
        <v>-2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>_xlfn.SINGLE(IF('Dati Comparti'!J10="","",IF('Dati Comparti'!J10&lt;=-0.1,Parametri!D43,IF('Dati Comparti'!J10&gt;=0.1,Parametri!D48,_xlfn.XLOOKUP('Dati Comparti'!J10,Parametri!C44:C47,Parametri!D44:D47,,1,1)))))</f>
        <v>4</v>
      </c>
      <c r="G11" s="42">
        <f>IF(OR(C11="",D11="",E11="",F11=""),"",ROUND(C11*Parametri!C6+D11*Parametri!C7+E11*Parametri!C8+F11*Parametri!C9,2))</f>
        <v>-0.4</v>
      </c>
    </row>
    <row r="13" spans="2:7" x14ac:dyDescent="0.25">
      <c r="B13" s="59" t="s">
        <v>55</v>
      </c>
      <c r="C13" s="53"/>
      <c r="D13" s="53"/>
      <c r="E13" s="53"/>
      <c r="F13" s="53"/>
      <c r="G13" s="53"/>
    </row>
    <row r="14" spans="2:7" x14ac:dyDescent="0.25">
      <c r="B14" s="14" t="s">
        <v>56</v>
      </c>
      <c r="C14" s="60" t="s">
        <v>57</v>
      </c>
      <c r="D14" s="53"/>
      <c r="E14" s="53"/>
      <c r="F14" s="61"/>
      <c r="G14" s="14" t="s">
        <v>58</v>
      </c>
    </row>
    <row r="15" spans="2:7" x14ac:dyDescent="0.25">
      <c r="B15" s="44" t="s">
        <v>59</v>
      </c>
      <c r="C15" s="58" t="str">
        <f>IFERROR(INDEX(Scoring!B5:B11,MATCH(LARGE(Scoring!G5:G11,1),Scoring!G5:G11,0)),"")</f>
        <v>Editoria</v>
      </c>
      <c r="D15" s="53"/>
      <c r="E15" s="53"/>
      <c r="F15" s="53"/>
      <c r="G15" s="1">
        <f>IFERROR(LARGE(Scoring!G5:G11,1),"")</f>
        <v>8.6</v>
      </c>
    </row>
    <row r="16" spans="2:7" x14ac:dyDescent="0.25">
      <c r="B16" s="45" t="s">
        <v>60</v>
      </c>
      <c r="C16" s="57" t="str">
        <f>IFERROR(INDEX(Scoring!B5:B11,MATCH(LARGE(Scoring!G5:G11,2),Scoring!G5:G11,0)),"")</f>
        <v>Centro Servizi</v>
      </c>
      <c r="D16" s="53"/>
      <c r="E16" s="53"/>
      <c r="F16" s="53"/>
      <c r="G16" s="2">
        <f>IFERROR(LARGE(Scoring!G5:G11,2),"")</f>
        <v>4</v>
      </c>
    </row>
    <row r="17" spans="2:7" x14ac:dyDescent="0.25">
      <c r="B17" s="46" t="s">
        <v>61</v>
      </c>
      <c r="C17" s="54" t="str">
        <f>IFERROR(INDEX(Scoring!B5:B11,MATCH(LARGE(Scoring!G5:G11,3),Scoring!G5:G11,0)),"")</f>
        <v>Idrico</v>
      </c>
      <c r="D17" s="53"/>
      <c r="E17" s="53"/>
      <c r="F17" s="53"/>
      <c r="G17" s="3">
        <f>IFERROR(LARGE(Scoring!G5:G11,3),"")</f>
        <v>2.8</v>
      </c>
    </row>
    <row r="18" spans="2:7" x14ac:dyDescent="0.25">
      <c r="B18" s="14" t="s">
        <v>62</v>
      </c>
      <c r="C18" s="52" t="str">
        <f>IFERROR(INDEX(Scoring!B5:B11,MATCH(LARGE(Scoring!G5:G11,4),Scoring!G5:G11,0)),"")</f>
        <v>Gori</v>
      </c>
      <c r="D18" s="53"/>
      <c r="E18" s="53"/>
      <c r="F18" s="53"/>
      <c r="G18" s="4">
        <f>IFERROR(LARGE(Scoring!G5:G11,4),"")</f>
        <v>1.8</v>
      </c>
    </row>
    <row r="19" spans="2:7" x14ac:dyDescent="0.25">
      <c r="B19" s="14" t="s">
        <v>63</v>
      </c>
      <c r="C19" s="52" t="str">
        <f>IFERROR(INDEX(Scoring!B5:B11,MATCH(LARGE(Scoring!G5:G11,5),Scoring!G5:G11,0)),"")</f>
        <v>Gori</v>
      </c>
      <c r="D19" s="53"/>
      <c r="E19" s="53"/>
      <c r="F19" s="53"/>
      <c r="G19" s="4">
        <f>IFERROR(LARGE(Scoring!G5:G11,5),"")</f>
        <v>1.8</v>
      </c>
    </row>
    <row r="20" spans="2:7" x14ac:dyDescent="0.25">
      <c r="B20" s="14" t="s">
        <v>64</v>
      </c>
      <c r="C20" s="52" t="str">
        <f>IFERROR(INDEX(Scoring!B5:B11,MATCH(LARGE(Scoring!G5:G11,6),Scoring!G5:G11,0)),"")</f>
        <v>Medicale</v>
      </c>
      <c r="D20" s="53"/>
      <c r="E20" s="53"/>
      <c r="F20" s="53"/>
      <c r="G20" s="4">
        <f>IFERROR(LARGE(Scoring!G5:G11,6),"")</f>
        <v>-0.4</v>
      </c>
    </row>
    <row r="21" spans="2:7" x14ac:dyDescent="0.25">
      <c r="B21" s="14" t="s">
        <v>65</v>
      </c>
      <c r="C21" s="52" t="str">
        <f>IFERROR(INDEX(Scoring!B5:B11,MATCH(LARGE(Scoring!G5:G11,7),Scoring!G5:G11,0)),"")</f>
        <v>ITS</v>
      </c>
      <c r="D21" s="53"/>
      <c r="E21" s="53"/>
      <c r="F21" s="53"/>
      <c r="G21" s="4">
        <f>IFERROR(LARGE(Scoring!G5:G11,7),"")</f>
        <v>-2.4</v>
      </c>
    </row>
    <row r="23" spans="2:7" x14ac:dyDescent="0.25">
      <c r="B23" s="55" t="s">
        <v>66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2026-06-23T09:13:26Z</dcterms:modified>
  <dc:language>en-US</dc:language>
</cp:coreProperties>
</file>